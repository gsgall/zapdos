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jcsmith\projects\zapdos_SHINX\SHINX\Model_Inputs\"/>
    </mc:Choice>
  </mc:AlternateContent>
  <xr:revisionPtr revIDLastSave="0" documentId="13_ncr:1_{05684F2D-06A0-4BE4-A142-5AFE2A82A2C3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Species_Full" sheetId="1" r:id="rId1"/>
    <sheet name="Species_Reduced" sheetId="5" r:id="rId2"/>
    <sheet name="EEDF_Reduced" sheetId="2" r:id="rId3"/>
    <sheet name="EEDF_Full" sheetId="6" r:id="rId4"/>
    <sheet name="Constant_Reduced" sheetId="3" r:id="rId5"/>
    <sheet name="Constant_Full" sheetId="7" r:id="rId6"/>
    <sheet name="Decay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6" l="1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E3" i="3"/>
  <c r="E2" i="3"/>
</calcChain>
</file>

<file path=xl/sharedStrings.xml><?xml version="1.0" encoding="utf-8"?>
<sst xmlns="http://schemas.openxmlformats.org/spreadsheetml/2006/main" count="605" uniqueCount="134">
  <si>
    <t>Species Key</t>
  </si>
  <si>
    <t>Type</t>
  </si>
  <si>
    <t>Mass (Kg)</t>
  </si>
  <si>
    <t>Electron Configuration</t>
  </si>
  <si>
    <t>Biagi E (eV)</t>
  </si>
  <si>
    <t>NIST E (eV)</t>
  </si>
  <si>
    <t>Ar000</t>
  </si>
  <si>
    <t>Ground</t>
  </si>
  <si>
    <t>Ar001</t>
  </si>
  <si>
    <t>3s2.3p5.(2P*&lt;3/2&gt;).4s | 2</t>
  </si>
  <si>
    <t>Ar002</t>
  </si>
  <si>
    <t>3s2.3p5.(2P*&lt;3/2&gt;).4s | 1</t>
  </si>
  <si>
    <t>Ar003</t>
  </si>
  <si>
    <t>3s2.3p5.(2P*&lt;1/2&gt;).4s | 0</t>
  </si>
  <si>
    <t>Ar004</t>
  </si>
  <si>
    <t>3s2.3p5.(2P*&lt;1/2&gt;).4s | 1</t>
  </si>
  <si>
    <t>Ar005</t>
  </si>
  <si>
    <t>3s2.3p5.(2P*&lt;3/2&gt;).4p | 1</t>
  </si>
  <si>
    <t>Ar006</t>
  </si>
  <si>
    <t>3s2.3p5.(2P*&lt;3/2&gt;).4p | 3</t>
  </si>
  <si>
    <t>Ar007</t>
  </si>
  <si>
    <t>3s2.3p5.(2P*&lt;3/2&gt;).4p | 2</t>
  </si>
  <si>
    <t>Ar008</t>
  </si>
  <si>
    <t>Ar009</t>
  </si>
  <si>
    <t>Ar010</t>
  </si>
  <si>
    <t>3s2.3p5.(2P*&lt;3/2&gt;).4p | 0</t>
  </si>
  <si>
    <t>Ar011</t>
  </si>
  <si>
    <t>3s2.3p5.(2P*&lt;1/2&gt;).4p | 1</t>
  </si>
  <si>
    <t>Ar012</t>
  </si>
  <si>
    <t>3s2.3p5.(2P*&lt;1/2&gt;).4p | 2</t>
  </si>
  <si>
    <t>Ar013</t>
  </si>
  <si>
    <t>Ar014</t>
  </si>
  <si>
    <t>3s2.3p5.(2P*&lt;1/2&gt;).4p | 0</t>
  </si>
  <si>
    <t>Ar015</t>
  </si>
  <si>
    <t>3s2.3p5.(2P*&lt;3/2&gt;).3d | 0</t>
  </si>
  <si>
    <t>Ar016</t>
  </si>
  <si>
    <t>3s2.3p5.(2P*&lt;3/2&gt;).3d | 1</t>
  </si>
  <si>
    <t>Ar017</t>
  </si>
  <si>
    <t>3s2.3p5.(2P*&lt;3/2&gt;).3d | 2</t>
  </si>
  <si>
    <t>Ar018</t>
  </si>
  <si>
    <t>3s2.3p5.(2P*&lt;3/2&gt;).3d | 3</t>
  </si>
  <si>
    <t>Ar019</t>
  </si>
  <si>
    <t>Ar020</t>
  </si>
  <si>
    <t>3s2.3p5.(2P*&lt;3/2&gt;).5s | 2</t>
  </si>
  <si>
    <t>Ar021</t>
  </si>
  <si>
    <t>3s2.3p5.(2P*&lt;3/2&gt;).5s | 1</t>
  </si>
  <si>
    <t>Ar022</t>
  </si>
  <si>
    <t>Ar023</t>
  </si>
  <si>
    <t>Ar024</t>
  </si>
  <si>
    <t>3s2.3p5.(2P*&lt;1/2&gt;).3d | 2</t>
  </si>
  <si>
    <t>Ar025</t>
  </si>
  <si>
    <t>Ar026</t>
  </si>
  <si>
    <t>3s2.3p5.(2P*&lt;1/2&gt;).3d | 3</t>
  </si>
  <si>
    <t>Ar027</t>
  </si>
  <si>
    <t>3s2.3p5.(2P*&lt;1/2&gt;).5s | 0</t>
  </si>
  <si>
    <t>Ar028</t>
  </si>
  <si>
    <t>3s2.3p5.(2P*&lt;1/2&gt;).5s | 1</t>
  </si>
  <si>
    <t>Ar029</t>
  </si>
  <si>
    <t>3s2.3p5.(2P*&lt;1/2&gt;).3d | 1</t>
  </si>
  <si>
    <t>Ar030</t>
  </si>
  <si>
    <t>3s2.3p5.(2P*&lt;3/2&gt;).4d | 1</t>
  </si>
  <si>
    <t>Ar031</t>
  </si>
  <si>
    <t>3s2.3p5.(2P*&lt;3/2&gt;).6s | 1</t>
  </si>
  <si>
    <t>Ar032</t>
  </si>
  <si>
    <t>Ar033</t>
  </si>
  <si>
    <t>3s2.3p5.(2P*&lt;1/2&gt;).4d | 1</t>
  </si>
  <si>
    <t>Ar034</t>
  </si>
  <si>
    <t>3s2.3p5.(2P*&lt;1/2&gt;).6s | 1</t>
  </si>
  <si>
    <t>Ar035</t>
  </si>
  <si>
    <t>3s2.3p5.(2P*&lt;3/2&gt;).5d | 1</t>
  </si>
  <si>
    <t>Ar036</t>
  </si>
  <si>
    <t>3s2.3p5.(2P*&lt;3/2&gt;).7s | 1</t>
  </si>
  <si>
    <t>Ar037</t>
  </si>
  <si>
    <t>Ar038</t>
  </si>
  <si>
    <t>3s2.3p5.(2P*&lt;3/2&gt;).6d | 1</t>
  </si>
  <si>
    <t>Ar039</t>
  </si>
  <si>
    <t>3s2.3p5.(2P*&lt;1/2&gt;).5d | 1</t>
  </si>
  <si>
    <t>Ar040</t>
  </si>
  <si>
    <t>3s2.3p5.(2P*&lt;3/2&gt;).8s | 2</t>
  </si>
  <si>
    <t>Ar041</t>
  </si>
  <si>
    <t>3s2.3p5.(2P*&lt;3/2&gt;).8s | 1</t>
  </si>
  <si>
    <t>Reaction</t>
  </si>
  <si>
    <t>R</t>
  </si>
  <si>
    <t>P</t>
  </si>
  <si>
    <t>Threshold</t>
  </si>
  <si>
    <t>Source</t>
  </si>
  <si>
    <t>Requires Processing</t>
  </si>
  <si>
    <t>Ar000_Elastic.txt</t>
  </si>
  <si>
    <t>Ar00I</t>
  </si>
  <si>
    <t>Ar000_Ionization.txt</t>
  </si>
  <si>
    <t>Ar000_Ar001.txt</t>
  </si>
  <si>
    <t>Ar000_Ar002.txt</t>
  </si>
  <si>
    <t>Ar000_Ar003.txt</t>
  </si>
  <si>
    <t>Ar000_Ar004.txt</t>
  </si>
  <si>
    <t>Ar000_Ar005.txt</t>
  </si>
  <si>
    <t>Ar000_Ar006.txt</t>
  </si>
  <si>
    <t>Ar000_Ar007.txt</t>
  </si>
  <si>
    <t>Ar000_Ar008.txt</t>
  </si>
  <si>
    <t>Ar000_Ar009.txt</t>
  </si>
  <si>
    <t>Ar000_Ar010.txt</t>
  </si>
  <si>
    <t>Ar000_Ar011.txt</t>
  </si>
  <si>
    <t>Ar000_Ar012.txt</t>
  </si>
  <si>
    <t>Ar000_Ar013.txt</t>
  </si>
  <si>
    <t>Ar000_Ar014.txt</t>
  </si>
  <si>
    <t>Ar000_Ar015.txt</t>
  </si>
  <si>
    <t>Ar000_Ar016.txt</t>
  </si>
  <si>
    <t>Ar000_Ar017.txt</t>
  </si>
  <si>
    <t>Ar000_Ar018.txt</t>
  </si>
  <si>
    <t>Ar000_Ar019.txt</t>
  </si>
  <si>
    <t>Ar000_Ar020.txt</t>
  </si>
  <si>
    <t>Ar000_Ar021.txt</t>
  </si>
  <si>
    <t>Ar000_Ar022.txt</t>
  </si>
  <si>
    <t>Ar000_Ar023.txt</t>
  </si>
  <si>
    <t>Ar000_Ar024.txt</t>
  </si>
  <si>
    <t>Ar000_Ar025.txt</t>
  </si>
  <si>
    <t>Ar000_Ar026.txt</t>
  </si>
  <si>
    <t>Ar000_Ar027.txt</t>
  </si>
  <si>
    <t>Ar000_Ar028.txt</t>
  </si>
  <si>
    <t>Ar000_Ar029.txt</t>
  </si>
  <si>
    <t>Ar000_Ar030.txt</t>
  </si>
  <si>
    <t>Ar000_Ar031.txt</t>
  </si>
  <si>
    <t>Ar000_Ar032.txt</t>
  </si>
  <si>
    <t>R1</t>
  </si>
  <si>
    <t>R2</t>
  </si>
  <si>
    <t>Rate</t>
  </si>
  <si>
    <t>Evaluation</t>
  </si>
  <si>
    <t>S1</t>
  </si>
  <si>
    <t>S2</t>
  </si>
  <si>
    <t>A_k</t>
  </si>
  <si>
    <t>Superelastics</t>
  </si>
  <si>
    <t>Ar</t>
  </si>
  <si>
    <t>Ar_I</t>
  </si>
  <si>
    <t>Ar_m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</si>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</sst>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191919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0" fillId="2" borderId="0" xfId="0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5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6" fillId="0" borderId="0" xfId="0" applyFont="1"/>
    <xf numFmtId="49" fontId="2" fillId="0" borderId="0" xfId="0" applyNumberFormat="1" applyFont="1"/>
    <xf numFmtId="11" fontId="7" fillId="0" borderId="0" xfId="0" applyNumberFormat="1" applyFont="1" applyAlignment="1">
      <alignment horizontal="right"/>
    </xf>
    <xf numFmtId="0" fontId="8" fillId="0" borderId="0" xfId="0" applyFont="1"/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11" fontId="10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5"/>
  <sheetViews>
    <sheetView workbookViewId="0">
      <selection sqref="A1:XFD1048576"/>
    </sheetView>
  </sheetViews>
  <sheetFormatPr defaultColWidth="12.6328125" defaultRowHeight="15.75" customHeight="1" x14ac:dyDescent="0.25"/>
  <cols>
    <col min="2" max="2" width="13.08984375" customWidth="1"/>
    <col min="3" max="3" width="15.08984375" customWidth="1"/>
    <col min="4" max="4" width="33.08984375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15.75" customHeight="1" x14ac:dyDescent="0.25">
      <c r="A2" s="2" t="s">
        <v>6</v>
      </c>
      <c r="B2" s="2">
        <v>1</v>
      </c>
      <c r="C2" s="3">
        <v>6.6399999999999996E-26</v>
      </c>
      <c r="D2" s="2" t="s">
        <v>7</v>
      </c>
      <c r="E2" s="2">
        <v>0</v>
      </c>
      <c r="F2" s="2">
        <v>0</v>
      </c>
      <c r="H2" s="4"/>
    </row>
    <row r="3" spans="1:8" ht="15.75" customHeight="1" x14ac:dyDescent="0.25">
      <c r="A3" s="2" t="s">
        <v>8</v>
      </c>
      <c r="B3" s="5">
        <v>2</v>
      </c>
      <c r="C3" s="3">
        <v>6.6399999999999996E-26</v>
      </c>
      <c r="D3" s="5" t="s">
        <v>9</v>
      </c>
      <c r="E3" s="6">
        <v>11.548</v>
      </c>
      <c r="F3" s="7">
        <v>11.548354420000001</v>
      </c>
      <c r="H3" s="4"/>
    </row>
    <row r="4" spans="1:8" ht="15.75" customHeight="1" x14ac:dyDescent="0.25">
      <c r="A4" s="2" t="s">
        <v>10</v>
      </c>
      <c r="B4" s="5">
        <v>2</v>
      </c>
      <c r="C4" s="3">
        <v>6.6399999999999996E-26</v>
      </c>
      <c r="D4" s="5" t="s">
        <v>11</v>
      </c>
      <c r="E4" s="8">
        <v>11.624000000000001</v>
      </c>
      <c r="F4" s="8">
        <v>11.62359272</v>
      </c>
      <c r="H4" s="4"/>
    </row>
    <row r="5" spans="1:8" ht="15.75" customHeight="1" x14ac:dyDescent="0.25">
      <c r="A5" s="2" t="s">
        <v>12</v>
      </c>
      <c r="B5" s="5">
        <v>2</v>
      </c>
      <c r="C5" s="3">
        <v>6.6399999999999996E-26</v>
      </c>
      <c r="D5" s="5" t="s">
        <v>13</v>
      </c>
      <c r="E5" s="8">
        <v>11.723000000000001</v>
      </c>
      <c r="F5" s="8">
        <v>11.72316039</v>
      </c>
      <c r="H5" s="4"/>
    </row>
    <row r="6" spans="1:8" ht="15.75" customHeight="1" x14ac:dyDescent="0.25">
      <c r="A6" s="2" t="s">
        <v>14</v>
      </c>
      <c r="B6" s="5">
        <v>2</v>
      </c>
      <c r="C6" s="3">
        <v>6.6399999999999996E-26</v>
      </c>
      <c r="D6" s="5" t="s">
        <v>15</v>
      </c>
      <c r="E6" s="8">
        <v>11.827999999999999</v>
      </c>
      <c r="F6" s="9">
        <v>11.82807116</v>
      </c>
      <c r="H6" s="4"/>
    </row>
    <row r="7" spans="1:8" ht="15.75" customHeight="1" x14ac:dyDescent="0.25">
      <c r="A7" s="2" t="s">
        <v>16</v>
      </c>
      <c r="B7" s="10">
        <v>2</v>
      </c>
      <c r="C7" s="3">
        <v>6.6399999999999996E-26</v>
      </c>
      <c r="D7" s="10" t="s">
        <v>17</v>
      </c>
      <c r="E7" s="8">
        <v>12.907</v>
      </c>
      <c r="F7" s="10">
        <v>12.907015299999999</v>
      </c>
      <c r="H7" s="4"/>
    </row>
    <row r="8" spans="1:8" ht="15.75" customHeight="1" x14ac:dyDescent="0.25">
      <c r="A8" s="2" t="s">
        <v>18</v>
      </c>
      <c r="B8" s="10">
        <v>2</v>
      </c>
      <c r="C8" s="3">
        <v>6.6399999999999996E-26</v>
      </c>
      <c r="D8" s="10" t="s">
        <v>19</v>
      </c>
      <c r="E8" s="8">
        <v>13.076000000000001</v>
      </c>
      <c r="F8" s="10">
        <v>13.075715710000001</v>
      </c>
      <c r="H8" s="4"/>
    </row>
    <row r="9" spans="1:8" ht="15.75" customHeight="1" x14ac:dyDescent="0.25">
      <c r="A9" s="2" t="s">
        <v>20</v>
      </c>
      <c r="B9" s="10">
        <v>2</v>
      </c>
      <c r="C9" s="3">
        <v>6.6399999999999996E-26</v>
      </c>
      <c r="D9" s="10" t="s">
        <v>21</v>
      </c>
      <c r="E9" s="11">
        <v>13.095000000000001</v>
      </c>
      <c r="F9" s="10">
        <v>13.094872560000001</v>
      </c>
      <c r="H9" s="4"/>
    </row>
    <row r="10" spans="1:8" ht="15.75" customHeight="1" x14ac:dyDescent="0.25">
      <c r="A10" s="2" t="s">
        <v>22</v>
      </c>
      <c r="B10" s="5">
        <v>2</v>
      </c>
      <c r="C10" s="3">
        <v>6.6399999999999996E-26</v>
      </c>
      <c r="D10" s="10" t="s">
        <v>17</v>
      </c>
      <c r="E10" s="11">
        <v>13.153</v>
      </c>
      <c r="F10" s="10">
        <v>13.153143869999999</v>
      </c>
      <c r="H10" s="4"/>
    </row>
    <row r="11" spans="1:8" ht="15.75" customHeight="1" x14ac:dyDescent="0.25">
      <c r="A11" s="2" t="s">
        <v>23</v>
      </c>
      <c r="B11" s="5">
        <v>2</v>
      </c>
      <c r="C11" s="3">
        <v>6.6399999999999996E-26</v>
      </c>
      <c r="D11" s="10" t="s">
        <v>21</v>
      </c>
      <c r="E11" s="11">
        <v>13.172000000000001</v>
      </c>
      <c r="F11" s="10">
        <v>13.1717777</v>
      </c>
      <c r="H11" s="4"/>
    </row>
    <row r="12" spans="1:8" ht="15.75" customHeight="1" x14ac:dyDescent="0.25">
      <c r="A12" s="2" t="s">
        <v>24</v>
      </c>
      <c r="B12" s="5">
        <v>2</v>
      </c>
      <c r="C12" s="3">
        <v>6.6399999999999996E-26</v>
      </c>
      <c r="D12" s="10" t="s">
        <v>25</v>
      </c>
      <c r="E12" s="11">
        <v>13.273</v>
      </c>
      <c r="F12" s="10">
        <v>13.273038100000001</v>
      </c>
      <c r="H12" s="4"/>
    </row>
    <row r="13" spans="1:8" ht="15.75" customHeight="1" x14ac:dyDescent="0.25">
      <c r="A13" s="2" t="s">
        <v>26</v>
      </c>
      <c r="B13" s="5">
        <v>2</v>
      </c>
      <c r="C13" s="3">
        <v>6.6399999999999996E-26</v>
      </c>
      <c r="D13" s="10" t="s">
        <v>27</v>
      </c>
      <c r="E13" s="5">
        <v>13.282999999999999</v>
      </c>
      <c r="F13" s="10">
        <v>13.28263902</v>
      </c>
      <c r="G13" s="12"/>
      <c r="H13" s="12"/>
    </row>
    <row r="14" spans="1:8" ht="15.75" customHeight="1" x14ac:dyDescent="0.25">
      <c r="A14" s="2" t="s">
        <v>28</v>
      </c>
      <c r="B14" s="10">
        <v>2</v>
      </c>
      <c r="C14" s="3">
        <v>6.6399999999999996E-26</v>
      </c>
      <c r="D14" s="10" t="s">
        <v>29</v>
      </c>
      <c r="E14" s="8">
        <v>13.302</v>
      </c>
      <c r="F14" s="10">
        <v>13.30222747</v>
      </c>
      <c r="G14" s="13"/>
      <c r="H14" s="12"/>
    </row>
    <row r="15" spans="1:8" ht="15.75" customHeight="1" x14ac:dyDescent="0.25">
      <c r="A15" s="2" t="s">
        <v>30</v>
      </c>
      <c r="B15" s="10">
        <v>2</v>
      </c>
      <c r="C15" s="3">
        <v>6.6399999999999996E-26</v>
      </c>
      <c r="D15" s="10" t="s">
        <v>27</v>
      </c>
      <c r="E15" s="14">
        <v>13.327999999999999</v>
      </c>
      <c r="F15" s="10">
        <v>13.32785705</v>
      </c>
      <c r="H15" s="4"/>
    </row>
    <row r="16" spans="1:8" ht="15.75" customHeight="1" x14ac:dyDescent="0.25">
      <c r="A16" s="2" t="s">
        <v>31</v>
      </c>
      <c r="B16" s="10">
        <v>2</v>
      </c>
      <c r="C16" s="3">
        <v>6.6399999999999996E-26</v>
      </c>
      <c r="D16" s="10" t="s">
        <v>32</v>
      </c>
      <c r="E16" s="5">
        <v>13.48</v>
      </c>
      <c r="F16" s="10">
        <v>13.479886820000001</v>
      </c>
      <c r="H16" s="4"/>
    </row>
    <row r="17" spans="1:30" ht="15.75" customHeight="1" x14ac:dyDescent="0.25">
      <c r="A17" s="2" t="s">
        <v>33</v>
      </c>
      <c r="B17" s="5">
        <v>2</v>
      </c>
      <c r="C17" s="3">
        <v>6.6399999999999996E-26</v>
      </c>
      <c r="D17" s="10" t="s">
        <v>34</v>
      </c>
      <c r="E17" s="5">
        <v>13.845000000000001</v>
      </c>
      <c r="F17" s="10">
        <v>13.845038499999999</v>
      </c>
      <c r="H17" s="4"/>
    </row>
    <row r="18" spans="1:30" ht="15.75" customHeight="1" x14ac:dyDescent="0.25">
      <c r="A18" s="2" t="s">
        <v>35</v>
      </c>
      <c r="B18" s="5">
        <v>2</v>
      </c>
      <c r="C18" s="3">
        <v>6.6399999999999996E-26</v>
      </c>
      <c r="D18" s="10" t="s">
        <v>36</v>
      </c>
      <c r="E18" s="2">
        <v>13.864000000000001</v>
      </c>
      <c r="F18" s="10">
        <v>13.8636686</v>
      </c>
      <c r="H18" s="4"/>
    </row>
    <row r="19" spans="1:30" ht="15.75" customHeight="1" x14ac:dyDescent="0.25">
      <c r="A19" s="2" t="s">
        <v>37</v>
      </c>
      <c r="B19" s="5">
        <v>2</v>
      </c>
      <c r="C19" s="3">
        <v>6.6399999999999996E-26</v>
      </c>
      <c r="D19" s="10" t="s">
        <v>38</v>
      </c>
      <c r="E19" s="2">
        <v>13.903</v>
      </c>
      <c r="F19" s="10">
        <v>13.9034546</v>
      </c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ht="15.75" customHeight="1" x14ac:dyDescent="0.25">
      <c r="A20" s="2" t="s">
        <v>39</v>
      </c>
      <c r="B20" s="5">
        <v>2</v>
      </c>
      <c r="C20" s="3">
        <v>6.6399999999999996E-26</v>
      </c>
      <c r="D20" s="10" t="s">
        <v>40</v>
      </c>
      <c r="E20" s="2">
        <v>14.013</v>
      </c>
      <c r="F20" s="10">
        <v>14.0127381</v>
      </c>
      <c r="H20" s="4"/>
    </row>
    <row r="21" spans="1:30" ht="15.75" customHeight="1" x14ac:dyDescent="0.25">
      <c r="A21" s="2" t="s">
        <v>41</v>
      </c>
      <c r="B21" s="10">
        <v>2</v>
      </c>
      <c r="C21" s="3">
        <v>6.6399999999999996E-26</v>
      </c>
      <c r="D21" s="10" t="s">
        <v>38</v>
      </c>
      <c r="E21" s="17">
        <v>14.063000000000001</v>
      </c>
      <c r="F21" s="10">
        <v>14.063027200000001</v>
      </c>
      <c r="G21" s="17"/>
      <c r="H21" s="15"/>
    </row>
    <row r="22" spans="1:30" ht="15.75" customHeight="1" x14ac:dyDescent="0.25">
      <c r="A22" s="2" t="s">
        <v>42</v>
      </c>
      <c r="B22" s="10">
        <v>2</v>
      </c>
      <c r="C22" s="3">
        <v>6.6399999999999996E-26</v>
      </c>
      <c r="D22" s="10" t="s">
        <v>43</v>
      </c>
      <c r="E22" s="17">
        <v>14.068</v>
      </c>
      <c r="F22" s="10">
        <v>14.0682977</v>
      </c>
      <c r="G22" s="17"/>
      <c r="H22" s="15"/>
    </row>
    <row r="23" spans="1:30" ht="15.75" customHeight="1" x14ac:dyDescent="0.25">
      <c r="A23" s="2" t="s">
        <v>44</v>
      </c>
      <c r="B23" s="10">
        <v>2</v>
      </c>
      <c r="C23" s="3">
        <v>6.6399999999999996E-26</v>
      </c>
      <c r="D23" s="10" t="s">
        <v>45</v>
      </c>
      <c r="E23" s="17">
        <v>14.09</v>
      </c>
      <c r="F23" s="10">
        <v>14.089968499999999</v>
      </c>
      <c r="G23" s="17"/>
      <c r="H23" s="15"/>
    </row>
    <row r="24" spans="1:30" ht="12.5" x14ac:dyDescent="0.25">
      <c r="A24" s="2" t="s">
        <v>46</v>
      </c>
      <c r="B24" s="5">
        <v>2</v>
      </c>
      <c r="C24" s="3">
        <v>6.6399999999999996E-26</v>
      </c>
      <c r="D24" s="10" t="s">
        <v>40</v>
      </c>
      <c r="E24" s="17">
        <v>14.099</v>
      </c>
      <c r="F24" s="10">
        <v>14.0990559</v>
      </c>
      <c r="G24" s="17"/>
      <c r="H24" s="15"/>
    </row>
    <row r="25" spans="1:30" ht="12.5" x14ac:dyDescent="0.25">
      <c r="A25" s="2" t="s">
        <v>47</v>
      </c>
      <c r="B25" s="5">
        <v>2</v>
      </c>
      <c r="C25" s="3">
        <v>6.6399999999999996E-26</v>
      </c>
      <c r="D25" s="10" t="s">
        <v>36</v>
      </c>
      <c r="E25" s="17">
        <v>14.153</v>
      </c>
      <c r="F25" s="10">
        <v>14.1525151</v>
      </c>
      <c r="G25" s="17"/>
      <c r="H25" s="15"/>
    </row>
    <row r="26" spans="1:30" ht="12.5" x14ac:dyDescent="0.25">
      <c r="A26" s="2" t="s">
        <v>48</v>
      </c>
      <c r="B26" s="5">
        <v>2</v>
      </c>
      <c r="C26" s="3">
        <v>6.6399999999999996E-26</v>
      </c>
      <c r="D26" s="10" t="s">
        <v>49</v>
      </c>
      <c r="E26" s="17">
        <v>14.214</v>
      </c>
      <c r="F26" s="10">
        <v>14.2136715</v>
      </c>
      <c r="G26" s="17"/>
      <c r="H26" s="15"/>
    </row>
    <row r="27" spans="1:30" ht="12.5" x14ac:dyDescent="0.25">
      <c r="A27" s="2" t="s">
        <v>50</v>
      </c>
      <c r="B27" s="5">
        <v>2</v>
      </c>
      <c r="C27" s="3">
        <v>6.6399999999999996E-26</v>
      </c>
      <c r="D27" s="10" t="s">
        <v>49</v>
      </c>
      <c r="E27" s="17">
        <v>14.234</v>
      </c>
      <c r="F27" s="10">
        <v>14.234022599999999</v>
      </c>
      <c r="G27" s="17"/>
      <c r="H27" s="15"/>
    </row>
    <row r="28" spans="1:30" ht="12.5" x14ac:dyDescent="0.25">
      <c r="A28" s="2" t="s">
        <v>51</v>
      </c>
      <c r="B28" s="10">
        <v>2</v>
      </c>
      <c r="C28" s="3">
        <v>6.6399999999999996E-26</v>
      </c>
      <c r="D28" s="10" t="s">
        <v>52</v>
      </c>
      <c r="E28" s="17">
        <v>14.236000000000001</v>
      </c>
      <c r="F28" s="10">
        <v>14.236106100000001</v>
      </c>
      <c r="G28" s="17"/>
      <c r="H28" s="15"/>
    </row>
    <row r="29" spans="1:30" ht="12.5" x14ac:dyDescent="0.25">
      <c r="A29" s="2" t="s">
        <v>53</v>
      </c>
      <c r="B29" s="10">
        <v>2</v>
      </c>
      <c r="C29" s="3">
        <v>6.6399999999999996E-26</v>
      </c>
      <c r="D29" s="10" t="s">
        <v>54</v>
      </c>
      <c r="E29" s="17">
        <v>14.241</v>
      </c>
      <c r="F29" s="10">
        <v>14.2410277</v>
      </c>
      <c r="G29" s="17"/>
      <c r="H29" s="15"/>
      <c r="I29" s="18"/>
    </row>
    <row r="30" spans="1:30" ht="12.5" x14ac:dyDescent="0.25">
      <c r="A30" s="2" t="s">
        <v>55</v>
      </c>
      <c r="B30" s="10">
        <v>2</v>
      </c>
      <c r="C30" s="3">
        <v>6.6399999999999996E-26</v>
      </c>
      <c r="D30" s="10" t="s">
        <v>56</v>
      </c>
      <c r="E30" s="17">
        <v>14.255000000000001</v>
      </c>
      <c r="F30" s="10">
        <v>14.255085599999999</v>
      </c>
      <c r="G30" s="17"/>
      <c r="H30" s="15"/>
      <c r="I30" s="18"/>
    </row>
    <row r="31" spans="1:30" ht="12.5" x14ac:dyDescent="0.25">
      <c r="A31" s="2" t="s">
        <v>57</v>
      </c>
      <c r="B31" s="5">
        <v>2</v>
      </c>
      <c r="C31" s="3">
        <v>6.6399999999999996E-26</v>
      </c>
      <c r="D31" s="10" t="s">
        <v>58</v>
      </c>
      <c r="E31" s="17">
        <v>14.304</v>
      </c>
      <c r="F31" s="10">
        <v>14.303668399999999</v>
      </c>
      <c r="G31" s="17"/>
      <c r="H31" s="15"/>
      <c r="I31" s="18"/>
    </row>
    <row r="32" spans="1:30" ht="12.5" x14ac:dyDescent="0.25">
      <c r="A32" s="2" t="s">
        <v>59</v>
      </c>
      <c r="B32" s="5">
        <v>2</v>
      </c>
      <c r="C32" s="3">
        <v>6.6399999999999996E-26</v>
      </c>
      <c r="D32" s="10" t="s">
        <v>60</v>
      </c>
      <c r="E32" s="17">
        <v>14.711</v>
      </c>
      <c r="F32" s="10">
        <v>14.7108981</v>
      </c>
      <c r="G32" s="17"/>
      <c r="H32" s="15"/>
    </row>
    <row r="33" spans="1:8" ht="12.5" x14ac:dyDescent="0.25">
      <c r="A33" s="2" t="s">
        <v>61</v>
      </c>
      <c r="B33" s="5">
        <v>2</v>
      </c>
      <c r="C33" s="3">
        <v>6.6399999999999996E-26</v>
      </c>
      <c r="D33" s="10" t="s">
        <v>62</v>
      </c>
      <c r="E33" s="17">
        <v>14.848000000000001</v>
      </c>
      <c r="F33" s="10">
        <v>14.848368990000001</v>
      </c>
      <c r="G33" s="17"/>
      <c r="H33" s="15"/>
    </row>
    <row r="34" spans="1:8" ht="12.5" x14ac:dyDescent="0.25">
      <c r="A34" s="2" t="s">
        <v>63</v>
      </c>
      <c r="B34" s="5">
        <v>2</v>
      </c>
      <c r="C34" s="3">
        <v>6.6399999999999996E-26</v>
      </c>
      <c r="D34" s="10" t="s">
        <v>60</v>
      </c>
      <c r="E34" s="2">
        <v>14.859</v>
      </c>
      <c r="F34" s="10">
        <v>14.85923</v>
      </c>
    </row>
    <row r="35" spans="1:8" ht="12.5" x14ac:dyDescent="0.25">
      <c r="A35" s="2" t="s">
        <v>64</v>
      </c>
      <c r="B35" s="10">
        <v>2</v>
      </c>
      <c r="C35" s="3">
        <v>6.6399999999999996E-26</v>
      </c>
      <c r="D35" s="10" t="s">
        <v>65</v>
      </c>
      <c r="E35" s="2">
        <v>15.004</v>
      </c>
      <c r="F35" s="10">
        <v>15.00356588</v>
      </c>
    </row>
    <row r="36" spans="1:8" ht="12.5" x14ac:dyDescent="0.25">
      <c r="A36" s="2" t="s">
        <v>66</v>
      </c>
      <c r="B36" s="10">
        <v>2</v>
      </c>
      <c r="C36" s="3">
        <v>6.6399999999999996E-26</v>
      </c>
      <c r="D36" s="10" t="s">
        <v>67</v>
      </c>
      <c r="E36" s="2">
        <v>15.022</v>
      </c>
      <c r="F36" s="10">
        <v>15.02208834</v>
      </c>
    </row>
    <row r="37" spans="1:8" ht="12.5" x14ac:dyDescent="0.25">
      <c r="A37" s="2" t="s">
        <v>68</v>
      </c>
      <c r="B37" s="10">
        <v>2</v>
      </c>
      <c r="C37" s="3">
        <v>6.6399999999999996E-26</v>
      </c>
      <c r="D37" s="10" t="s">
        <v>69</v>
      </c>
      <c r="E37" s="2">
        <v>15.118</v>
      </c>
      <c r="F37" s="10">
        <v>15.11774638</v>
      </c>
    </row>
    <row r="38" spans="1:8" ht="12.5" x14ac:dyDescent="0.25">
      <c r="A38" s="2" t="s">
        <v>70</v>
      </c>
      <c r="B38" s="5">
        <v>2</v>
      </c>
      <c r="C38" s="3">
        <v>6.6399999999999996E-26</v>
      </c>
      <c r="D38" s="10" t="s">
        <v>71</v>
      </c>
      <c r="E38" s="2">
        <v>15.186</v>
      </c>
      <c r="F38" s="10">
        <v>15.185508</v>
      </c>
    </row>
    <row r="39" spans="1:8" ht="12.5" x14ac:dyDescent="0.25">
      <c r="A39" s="2" t="s">
        <v>72</v>
      </c>
      <c r="B39" s="5">
        <v>2</v>
      </c>
      <c r="C39" s="3">
        <v>6.6399999999999996E-26</v>
      </c>
      <c r="D39" s="10" t="s">
        <v>69</v>
      </c>
      <c r="E39" s="2">
        <v>15.19</v>
      </c>
      <c r="F39" s="10">
        <v>15.1898239</v>
      </c>
    </row>
    <row r="40" spans="1:8" ht="12.5" x14ac:dyDescent="0.25">
      <c r="A40" s="2" t="s">
        <v>73</v>
      </c>
      <c r="B40" s="5">
        <v>2</v>
      </c>
      <c r="C40" s="3">
        <v>6.6399999999999996E-26</v>
      </c>
      <c r="D40" s="10" t="s">
        <v>74</v>
      </c>
      <c r="E40" s="2">
        <v>15.308</v>
      </c>
      <c r="F40" s="10">
        <v>15.3080777</v>
      </c>
    </row>
    <row r="41" spans="1:8" ht="12.5" x14ac:dyDescent="0.25">
      <c r="A41" s="2" t="s">
        <v>75</v>
      </c>
      <c r="B41" s="5">
        <v>2</v>
      </c>
      <c r="C41" s="3">
        <v>6.6399999999999996E-26</v>
      </c>
      <c r="D41" s="10" t="s">
        <v>76</v>
      </c>
      <c r="E41" s="2">
        <v>15.351000000000001</v>
      </c>
      <c r="F41" s="10">
        <v>15.351172999999999</v>
      </c>
    </row>
    <row r="42" spans="1:8" ht="12.5" x14ac:dyDescent="0.25">
      <c r="A42" s="2" t="s">
        <v>77</v>
      </c>
      <c r="B42" s="10">
        <v>2</v>
      </c>
      <c r="C42" s="3">
        <v>6.6399999999999996E-26</v>
      </c>
      <c r="D42" s="2" t="s">
        <v>78</v>
      </c>
      <c r="E42" s="2">
        <v>15.36</v>
      </c>
      <c r="F42" s="10">
        <v>15.362041400000001</v>
      </c>
    </row>
    <row r="43" spans="1:8" ht="12.5" x14ac:dyDescent="0.25">
      <c r="A43" s="2" t="s">
        <v>79</v>
      </c>
      <c r="B43" s="10">
        <v>2</v>
      </c>
      <c r="C43" s="3">
        <v>6.6399999999999996E-26</v>
      </c>
      <c r="D43" s="2" t="s">
        <v>80</v>
      </c>
      <c r="E43" s="2">
        <v>15.366</v>
      </c>
      <c r="F43" s="2">
        <v>15.366089499999999</v>
      </c>
    </row>
    <row r="44" spans="1:8" ht="13" x14ac:dyDescent="0.3">
      <c r="A44" s="19"/>
    </row>
    <row r="45" spans="1:8" ht="12.5" x14ac:dyDescent="0.25">
      <c r="A45" s="16"/>
      <c r="B45" s="16"/>
      <c r="C45" s="16"/>
      <c r="D45" s="16"/>
      <c r="E45" s="16"/>
      <c r="F45" s="16"/>
      <c r="G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CC7F-916B-4FAD-8BAE-BEC0990577DE}">
  <dimension ref="A1:X45"/>
  <sheetViews>
    <sheetView workbookViewId="0">
      <selection activeCell="H8" sqref="H8"/>
    </sheetView>
  </sheetViews>
  <sheetFormatPr defaultColWidth="12.6328125" defaultRowHeight="12.5" x14ac:dyDescent="0.25"/>
  <cols>
    <col min="2" max="2" width="13.08984375" customWidth="1"/>
    <col min="3" max="3" width="15.08984375" customWidth="1"/>
    <col min="4" max="4" width="33.08984375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15.75" customHeight="1" x14ac:dyDescent="0.25">
      <c r="A2" s="2" t="s">
        <v>130</v>
      </c>
      <c r="B2" s="2">
        <v>1</v>
      </c>
      <c r="C2" s="3">
        <v>6.6399999999999996E-26</v>
      </c>
      <c r="D2" s="2" t="s">
        <v>7</v>
      </c>
      <c r="E2" s="2">
        <v>0</v>
      </c>
      <c r="F2" s="2">
        <v>0</v>
      </c>
      <c r="H2" s="4"/>
    </row>
    <row r="3" spans="1:8" ht="15.75" customHeight="1" x14ac:dyDescent="0.25">
      <c r="A3" s="2" t="s">
        <v>132</v>
      </c>
      <c r="B3" s="5">
        <v>2</v>
      </c>
      <c r="C3" s="3">
        <v>6.6399999999999996E-26</v>
      </c>
      <c r="D3" s="5" t="s">
        <v>9</v>
      </c>
      <c r="E3" s="6">
        <v>11.548</v>
      </c>
      <c r="F3" s="7">
        <v>11.548354420000001</v>
      </c>
      <c r="H3" s="4"/>
    </row>
    <row r="4" spans="1:8" ht="15.75" customHeight="1" x14ac:dyDescent="0.25">
      <c r="B4" s="4"/>
    </row>
    <row r="5" spans="1:8" ht="15.75" customHeight="1" x14ac:dyDescent="0.25">
      <c r="B5" s="4"/>
    </row>
    <row r="6" spans="1:8" ht="15.75" customHeight="1" x14ac:dyDescent="0.25">
      <c r="B6" s="4"/>
    </row>
    <row r="7" spans="1:8" ht="15.75" customHeight="1" x14ac:dyDescent="0.25">
      <c r="B7" s="4"/>
    </row>
    <row r="8" spans="1:8" ht="15.75" customHeight="1" x14ac:dyDescent="0.25">
      <c r="B8" s="4"/>
    </row>
    <row r="9" spans="1:8" ht="15.75" customHeight="1" x14ac:dyDescent="0.25">
      <c r="B9" s="4"/>
    </row>
    <row r="10" spans="1:8" ht="15.75" customHeight="1" x14ac:dyDescent="0.25">
      <c r="B10" s="4"/>
    </row>
    <row r="11" spans="1:8" ht="15.75" customHeight="1" x14ac:dyDescent="0.25">
      <c r="B11" s="4"/>
    </row>
    <row r="12" spans="1:8" ht="15.75" customHeight="1" x14ac:dyDescent="0.25">
      <c r="B12" s="4"/>
    </row>
    <row r="13" spans="1:8" ht="15.75" customHeight="1" x14ac:dyDescent="0.25">
      <c r="A13" s="12"/>
      <c r="B13" s="12"/>
    </row>
    <row r="14" spans="1:8" ht="15.75" customHeight="1" x14ac:dyDescent="0.25">
      <c r="A14" s="13"/>
      <c r="B14" s="12"/>
    </row>
    <row r="15" spans="1:8" ht="15.75" customHeight="1" x14ac:dyDescent="0.25">
      <c r="B15" s="4"/>
    </row>
    <row r="16" spans="1:8" ht="15.75" customHeight="1" x14ac:dyDescent="0.25">
      <c r="B16" s="4"/>
    </row>
    <row r="17" spans="1:24" ht="15.75" customHeight="1" x14ac:dyDescent="0.25">
      <c r="B17" s="4"/>
    </row>
    <row r="18" spans="1:24" ht="15.75" customHeight="1" x14ac:dyDescent="0.25">
      <c r="B18" s="4"/>
    </row>
    <row r="19" spans="1:24" ht="15.75" customHeight="1" x14ac:dyDescent="0.25"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5.75" customHeight="1" x14ac:dyDescent="0.25">
      <c r="B20" s="4"/>
    </row>
    <row r="21" spans="1:24" ht="15.75" customHeight="1" x14ac:dyDescent="0.25">
      <c r="A21" s="17"/>
      <c r="B21" s="15"/>
    </row>
    <row r="22" spans="1:24" ht="15.75" customHeight="1" x14ac:dyDescent="0.25">
      <c r="A22" s="17"/>
      <c r="B22" s="15"/>
    </row>
    <row r="23" spans="1:24" ht="15.75" customHeight="1" x14ac:dyDescent="0.25">
      <c r="A23" s="17"/>
      <c r="B23" s="15"/>
    </row>
    <row r="24" spans="1:24" x14ac:dyDescent="0.25">
      <c r="A24" s="17"/>
      <c r="B24" s="15"/>
    </row>
    <row r="25" spans="1:24" x14ac:dyDescent="0.25">
      <c r="A25" s="17"/>
      <c r="B25" s="15"/>
    </row>
    <row r="26" spans="1:24" x14ac:dyDescent="0.25">
      <c r="A26" s="17"/>
      <c r="B26" s="15"/>
    </row>
    <row r="27" spans="1:24" x14ac:dyDescent="0.25">
      <c r="A27" s="17"/>
      <c r="B27" s="15"/>
    </row>
    <row r="28" spans="1:24" x14ac:dyDescent="0.25">
      <c r="A28" s="17"/>
      <c r="B28" s="15"/>
    </row>
    <row r="29" spans="1:24" x14ac:dyDescent="0.25">
      <c r="A29" s="17"/>
      <c r="B29" s="15"/>
      <c r="C29" s="18"/>
    </row>
    <row r="30" spans="1:24" x14ac:dyDescent="0.25">
      <c r="A30" s="17"/>
      <c r="B30" s="15"/>
      <c r="C30" s="18"/>
    </row>
    <row r="31" spans="1:24" x14ac:dyDescent="0.25">
      <c r="A31" s="17"/>
      <c r="B31" s="15"/>
      <c r="C31" s="18"/>
    </row>
    <row r="32" spans="1:24" x14ac:dyDescent="0.25">
      <c r="A32" s="17"/>
      <c r="B32" s="15"/>
    </row>
    <row r="33" spans="1:7" x14ac:dyDescent="0.25">
      <c r="A33" s="17"/>
      <c r="B33" s="15"/>
    </row>
    <row r="44" spans="1:7" ht="13" x14ac:dyDescent="0.3">
      <c r="A44" s="19"/>
    </row>
    <row r="45" spans="1:7" x14ac:dyDescent="0.25">
      <c r="A45" s="16"/>
      <c r="B45" s="16"/>
      <c r="C45" s="16"/>
      <c r="D45" s="16"/>
      <c r="E45" s="16"/>
      <c r="F45" s="16"/>
      <c r="G4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"/>
  <sheetViews>
    <sheetView workbookViewId="0">
      <selection activeCell="A6" sqref="A6:H51"/>
    </sheetView>
  </sheetViews>
  <sheetFormatPr defaultColWidth="12.6328125" defaultRowHeight="15.75" customHeight="1" x14ac:dyDescent="0.25"/>
  <sheetData>
    <row r="1" spans="1:8" ht="13" x14ac:dyDescent="0.3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22" t="s">
        <v>129</v>
      </c>
      <c r="H1" s="1" t="s">
        <v>86</v>
      </c>
    </row>
    <row r="2" spans="1:8" ht="15.75" customHeight="1" x14ac:dyDescent="0.25">
      <c r="A2" s="2">
        <v>1</v>
      </c>
      <c r="B2" s="2">
        <v>1</v>
      </c>
      <c r="C2" s="20" t="s">
        <v>130</v>
      </c>
      <c r="D2" s="20" t="s">
        <v>130</v>
      </c>
      <c r="E2" s="3">
        <v>1.36E-5</v>
      </c>
      <c r="F2" s="2" t="s">
        <v>87</v>
      </c>
      <c r="G2" s="2">
        <v>0</v>
      </c>
      <c r="H2" s="2">
        <v>1</v>
      </c>
    </row>
    <row r="3" spans="1:8" ht="15.75" customHeight="1" x14ac:dyDescent="0.25">
      <c r="A3" s="2">
        <v>2</v>
      </c>
      <c r="B3" s="2">
        <v>1</v>
      </c>
      <c r="C3" s="20" t="s">
        <v>130</v>
      </c>
      <c r="D3" s="20" t="s">
        <v>131</v>
      </c>
      <c r="E3" s="2">
        <v>15.76</v>
      </c>
      <c r="F3" s="2" t="s">
        <v>89</v>
      </c>
      <c r="G3" s="2">
        <v>0</v>
      </c>
      <c r="H3" s="2">
        <v>1</v>
      </c>
    </row>
    <row r="4" spans="1:8" ht="15.75" customHeight="1" x14ac:dyDescent="0.25">
      <c r="A4" s="2">
        <v>3</v>
      </c>
      <c r="B4" s="2">
        <v>1</v>
      </c>
      <c r="C4" s="20" t="s">
        <v>130</v>
      </c>
      <c r="D4" s="20" t="s">
        <v>132</v>
      </c>
      <c r="E4" s="7">
        <v>11.548354420000001</v>
      </c>
      <c r="F4" s="2" t="s">
        <v>90</v>
      </c>
      <c r="G4" s="2">
        <v>0</v>
      </c>
      <c r="H4" s="2">
        <v>1</v>
      </c>
    </row>
    <row r="5" spans="1:8" ht="15.75" customHeight="1" x14ac:dyDescent="0.25">
      <c r="A5" s="2">
        <v>3</v>
      </c>
      <c r="B5" s="2">
        <v>2</v>
      </c>
      <c r="C5" s="20" t="s">
        <v>130</v>
      </c>
      <c r="D5" s="20" t="s">
        <v>132</v>
      </c>
      <c r="E5" s="8">
        <v>11.62359272</v>
      </c>
      <c r="F5" s="2" t="s">
        <v>91</v>
      </c>
      <c r="G5" s="2">
        <v>1</v>
      </c>
      <c r="H5" s="2">
        <v>1</v>
      </c>
    </row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spans="4:5" ht="12.5" x14ac:dyDescent="0.25"/>
    <row r="34" spans="4:5" ht="12.5" x14ac:dyDescent="0.25"/>
    <row r="35" spans="4:5" ht="12.5" x14ac:dyDescent="0.25"/>
    <row r="36" spans="4:5" ht="12.5" x14ac:dyDescent="0.25"/>
    <row r="37" spans="4:5" ht="12.5" x14ac:dyDescent="0.25"/>
    <row r="38" spans="4:5" ht="12.5" x14ac:dyDescent="0.25"/>
    <row r="39" spans="4:5" ht="12.5" x14ac:dyDescent="0.25"/>
    <row r="40" spans="4:5" ht="12.5" x14ac:dyDescent="0.25"/>
    <row r="41" spans="4:5" ht="12.5" x14ac:dyDescent="0.25"/>
    <row r="42" spans="4:5" ht="12.5" x14ac:dyDescent="0.25"/>
    <row r="43" spans="4:5" ht="12.5" x14ac:dyDescent="0.25"/>
    <row r="44" spans="4:5" ht="12.5" x14ac:dyDescent="0.25"/>
    <row r="45" spans="4:5" ht="12.5" x14ac:dyDescent="0.25"/>
    <row r="46" spans="4:5" ht="12.5" x14ac:dyDescent="0.25"/>
    <row r="47" spans="4:5" ht="12.5" x14ac:dyDescent="0.25">
      <c r="D47" s="20"/>
    </row>
    <row r="48" spans="4:5" ht="12.5" x14ac:dyDescent="0.25">
      <c r="D48" s="20"/>
      <c r="E48" s="20"/>
    </row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spans="3:4" ht="12.5" x14ac:dyDescent="0.25"/>
    <row r="66" spans="3:4" ht="12.5" x14ac:dyDescent="0.25"/>
    <row r="67" spans="3:4" ht="12.5" x14ac:dyDescent="0.25"/>
    <row r="68" spans="3:4" ht="12.5" x14ac:dyDescent="0.25"/>
    <row r="69" spans="3:4" ht="12.5" x14ac:dyDescent="0.25">
      <c r="C69" s="20"/>
      <c r="D69" s="20"/>
    </row>
    <row r="70" spans="3:4" ht="12.5" x14ac:dyDescent="0.25">
      <c r="C70" s="20"/>
      <c r="D70" s="20"/>
    </row>
    <row r="71" spans="3:4" ht="12.5" x14ac:dyDescent="0.25">
      <c r="C71" s="20"/>
      <c r="D71" s="20"/>
    </row>
    <row r="72" spans="3:4" ht="12.5" x14ac:dyDescent="0.25">
      <c r="C72" s="20"/>
      <c r="D72" s="20"/>
    </row>
    <row r="73" spans="3:4" ht="12.5" x14ac:dyDescent="0.25">
      <c r="C73" s="20"/>
      <c r="D73" s="20"/>
    </row>
    <row r="74" spans="3:4" ht="12.5" x14ac:dyDescent="0.25">
      <c r="C74" s="20"/>
      <c r="D74" s="20"/>
    </row>
    <row r="75" spans="3:4" ht="12.5" x14ac:dyDescent="0.25">
      <c r="C75" s="20"/>
      <c r="D75" s="20"/>
    </row>
    <row r="76" spans="3:4" ht="12.5" x14ac:dyDescent="0.25">
      <c r="C76" s="20"/>
      <c r="D76" s="20"/>
    </row>
    <row r="77" spans="3:4" ht="12.5" x14ac:dyDescent="0.25">
      <c r="C77" s="20"/>
      <c r="D77" s="20"/>
    </row>
    <row r="78" spans="3:4" ht="12.5" x14ac:dyDescent="0.25">
      <c r="C78" s="20"/>
      <c r="D78" s="20"/>
    </row>
    <row r="79" spans="3:4" ht="12.5" x14ac:dyDescent="0.25">
      <c r="C79" s="20"/>
      <c r="D79" s="20"/>
    </row>
    <row r="80" spans="3:4" ht="12.5" x14ac:dyDescent="0.25">
      <c r="C80" s="20"/>
      <c r="D80" s="20"/>
    </row>
    <row r="81" spans="3:4" ht="12.5" x14ac:dyDescent="0.25">
      <c r="C81" s="20"/>
      <c r="D81" s="20"/>
    </row>
    <row r="82" spans="3:4" ht="12.5" x14ac:dyDescent="0.25">
      <c r="C82" s="20"/>
      <c r="D82" s="20"/>
    </row>
    <row r="83" spans="3:4" ht="12.5" x14ac:dyDescent="0.25">
      <c r="C83" s="20"/>
      <c r="D83" s="20"/>
    </row>
    <row r="84" spans="3:4" ht="12.5" x14ac:dyDescent="0.25">
      <c r="C84" s="20"/>
      <c r="D84" s="20"/>
    </row>
    <row r="85" spans="3:4" ht="12.5" x14ac:dyDescent="0.25">
      <c r="C85" s="20"/>
      <c r="D85" s="20"/>
    </row>
    <row r="86" spans="3:4" ht="12.5" x14ac:dyDescent="0.25">
      <c r="C86" s="20"/>
      <c r="D86" s="20"/>
    </row>
    <row r="87" spans="3:4" ht="12.5" x14ac:dyDescent="0.25">
      <c r="C87" s="20"/>
      <c r="D87" s="20"/>
    </row>
    <row r="88" spans="3:4" ht="12.5" x14ac:dyDescent="0.25">
      <c r="C88" s="20"/>
      <c r="D88" s="20"/>
    </row>
    <row r="89" spans="3:4" ht="12.5" x14ac:dyDescent="0.25">
      <c r="C89" s="20"/>
      <c r="D89" s="20"/>
    </row>
    <row r="90" spans="3:4" ht="12.5" x14ac:dyDescent="0.25">
      <c r="C90" s="20"/>
      <c r="D90" s="20"/>
    </row>
    <row r="91" spans="3:4" ht="12.5" x14ac:dyDescent="0.25">
      <c r="C91" s="20"/>
      <c r="D91" s="20"/>
    </row>
    <row r="92" spans="3:4" ht="12.5" x14ac:dyDescent="0.25">
      <c r="C92" s="20"/>
      <c r="D92" s="20"/>
    </row>
    <row r="93" spans="3:4" ht="12.5" x14ac:dyDescent="0.25">
      <c r="C93" s="20"/>
      <c r="D93" s="20"/>
    </row>
    <row r="94" spans="3:4" ht="12.5" x14ac:dyDescent="0.25">
      <c r="C94" s="20"/>
      <c r="D94" s="20"/>
    </row>
    <row r="95" spans="3:4" ht="12.5" x14ac:dyDescent="0.25">
      <c r="C95" s="20"/>
      <c r="D95" s="20"/>
    </row>
    <row r="96" spans="3:4" ht="12.5" x14ac:dyDescent="0.25">
      <c r="C96" s="20"/>
      <c r="D96" s="20"/>
    </row>
    <row r="97" spans="3:4" ht="12.5" x14ac:dyDescent="0.25">
      <c r="C97" s="20"/>
      <c r="D97" s="20"/>
    </row>
    <row r="98" spans="3:4" ht="12.5" x14ac:dyDescent="0.25">
      <c r="C98" s="20"/>
      <c r="D98" s="20"/>
    </row>
    <row r="99" spans="3:4" ht="12.5" x14ac:dyDescent="0.25">
      <c r="C99" s="20"/>
      <c r="D99" s="20"/>
    </row>
    <row r="100" spans="3:4" ht="12.5" x14ac:dyDescent="0.25">
      <c r="C100" s="20"/>
      <c r="D10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700B-3F95-48F9-829E-6E8594FD3E9B}">
  <dimension ref="A1:M100"/>
  <sheetViews>
    <sheetView topLeftCell="A3" workbookViewId="0">
      <selection activeCell="J10" sqref="J10"/>
    </sheetView>
  </sheetViews>
  <sheetFormatPr defaultColWidth="12.6328125" defaultRowHeight="12.5" x14ac:dyDescent="0.25"/>
  <sheetData>
    <row r="1" spans="1:8" ht="13" x14ac:dyDescent="0.3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22" t="s">
        <v>129</v>
      </c>
      <c r="H1" s="1" t="s">
        <v>86</v>
      </c>
    </row>
    <row r="2" spans="1:8" ht="15.75" customHeight="1" x14ac:dyDescent="0.25">
      <c r="A2" s="2">
        <v>1</v>
      </c>
      <c r="B2" s="2">
        <v>1</v>
      </c>
      <c r="C2" s="20" t="s">
        <v>6</v>
      </c>
      <c r="D2" s="20" t="s">
        <v>6</v>
      </c>
      <c r="E2" s="3">
        <v>1.36E-5</v>
      </c>
      <c r="F2" s="2" t="s">
        <v>87</v>
      </c>
      <c r="G2" s="2">
        <v>0</v>
      </c>
      <c r="H2" s="2">
        <v>1</v>
      </c>
    </row>
    <row r="3" spans="1:8" ht="15.75" customHeight="1" x14ac:dyDescent="0.25">
      <c r="A3" s="2">
        <v>2</v>
      </c>
      <c r="B3" s="2">
        <v>1</v>
      </c>
      <c r="C3" s="20" t="s">
        <v>6</v>
      </c>
      <c r="D3" s="20" t="s">
        <v>88</v>
      </c>
      <c r="E3" s="2">
        <v>15.76</v>
      </c>
      <c r="F3" s="2" t="s">
        <v>89</v>
      </c>
      <c r="G3" s="2">
        <v>0</v>
      </c>
      <c r="H3" s="2">
        <v>1</v>
      </c>
    </row>
    <row r="4" spans="1:8" ht="15.75" customHeight="1" x14ac:dyDescent="0.25">
      <c r="A4" s="2">
        <v>3</v>
      </c>
      <c r="B4" s="2">
        <v>1</v>
      </c>
      <c r="C4" s="20" t="s">
        <v>6</v>
      </c>
      <c r="D4" s="20" t="s">
        <v>8</v>
      </c>
      <c r="E4" s="7">
        <v>11.548354420000001</v>
      </c>
      <c r="F4" s="2" t="s">
        <v>90</v>
      </c>
      <c r="G4" s="2">
        <v>0</v>
      </c>
      <c r="H4" s="2">
        <v>1</v>
      </c>
    </row>
    <row r="5" spans="1:8" ht="15.75" customHeight="1" x14ac:dyDescent="0.25">
      <c r="A5" s="2">
        <v>3</v>
      </c>
      <c r="B5" s="2">
        <v>2</v>
      </c>
      <c r="C5" s="20" t="s">
        <v>6</v>
      </c>
      <c r="D5" s="20" t="s">
        <v>10</v>
      </c>
      <c r="E5" s="8">
        <v>11.62359272</v>
      </c>
      <c r="F5" s="2" t="s">
        <v>91</v>
      </c>
      <c r="G5" s="2">
        <v>0</v>
      </c>
      <c r="H5" s="2">
        <v>1</v>
      </c>
    </row>
    <row r="6" spans="1:8" ht="15.75" customHeight="1" x14ac:dyDescent="0.25">
      <c r="A6" s="2">
        <v>3</v>
      </c>
      <c r="B6" s="2">
        <v>3</v>
      </c>
      <c r="C6" s="20" t="s">
        <v>6</v>
      </c>
      <c r="D6" s="20" t="s">
        <v>12</v>
      </c>
      <c r="E6" s="8">
        <v>11.72316039</v>
      </c>
      <c r="F6" s="2" t="s">
        <v>92</v>
      </c>
      <c r="G6" s="2">
        <v>0</v>
      </c>
      <c r="H6" s="2">
        <v>1</v>
      </c>
    </row>
    <row r="7" spans="1:8" ht="15.75" customHeight="1" x14ac:dyDescent="0.25">
      <c r="A7" s="2">
        <v>3</v>
      </c>
      <c r="B7" s="2">
        <v>4</v>
      </c>
      <c r="C7" s="20" t="s">
        <v>6</v>
      </c>
      <c r="D7" s="20" t="s">
        <v>14</v>
      </c>
      <c r="E7" s="9">
        <v>11.82807116</v>
      </c>
      <c r="F7" s="2" t="s">
        <v>93</v>
      </c>
      <c r="G7" s="2">
        <v>0</v>
      </c>
      <c r="H7" s="2">
        <v>1</v>
      </c>
    </row>
    <row r="8" spans="1:8" ht="15.75" customHeight="1" x14ac:dyDescent="0.25">
      <c r="A8" s="2">
        <v>3</v>
      </c>
      <c r="B8" s="2">
        <v>5</v>
      </c>
      <c r="C8" s="20" t="s">
        <v>6</v>
      </c>
      <c r="D8" s="20" t="s">
        <v>16</v>
      </c>
      <c r="E8" s="10">
        <v>12.907015299999999</v>
      </c>
      <c r="F8" s="2" t="s">
        <v>94</v>
      </c>
      <c r="G8" s="2">
        <v>0</v>
      </c>
      <c r="H8" s="2">
        <v>1</v>
      </c>
    </row>
    <row r="9" spans="1:8" ht="15.75" customHeight="1" x14ac:dyDescent="0.25">
      <c r="A9" s="2">
        <v>3</v>
      </c>
      <c r="B9" s="2">
        <v>6</v>
      </c>
      <c r="C9" s="20" t="s">
        <v>6</v>
      </c>
      <c r="D9" s="20" t="s">
        <v>18</v>
      </c>
      <c r="E9" s="10">
        <v>13.075715710000001</v>
      </c>
      <c r="F9" s="2" t="s">
        <v>95</v>
      </c>
      <c r="G9" s="2">
        <v>0</v>
      </c>
      <c r="H9" s="2">
        <v>1</v>
      </c>
    </row>
    <row r="10" spans="1:8" ht="15.75" customHeight="1" x14ac:dyDescent="0.25">
      <c r="A10" s="2">
        <v>3</v>
      </c>
      <c r="B10" s="2">
        <v>7</v>
      </c>
      <c r="C10" s="20" t="s">
        <v>6</v>
      </c>
      <c r="D10" s="20" t="s">
        <v>20</v>
      </c>
      <c r="E10" s="10">
        <v>13.094872560000001</v>
      </c>
      <c r="F10" s="2" t="s">
        <v>96</v>
      </c>
      <c r="G10" s="2">
        <v>0</v>
      </c>
      <c r="H10" s="2">
        <v>1</v>
      </c>
    </row>
    <row r="11" spans="1:8" ht="15.75" customHeight="1" x14ac:dyDescent="0.25">
      <c r="A11" s="2">
        <v>3</v>
      </c>
      <c r="B11" s="2">
        <v>8</v>
      </c>
      <c r="C11" s="20" t="s">
        <v>6</v>
      </c>
      <c r="D11" s="20" t="s">
        <v>22</v>
      </c>
      <c r="E11" s="10">
        <v>13.153143869999999</v>
      </c>
      <c r="F11" s="2" t="s">
        <v>97</v>
      </c>
      <c r="G11" s="2">
        <v>0</v>
      </c>
      <c r="H11" s="2">
        <v>1</v>
      </c>
    </row>
    <row r="12" spans="1:8" ht="15.75" customHeight="1" x14ac:dyDescent="0.25">
      <c r="A12" s="2">
        <v>3</v>
      </c>
      <c r="B12" s="2">
        <v>9</v>
      </c>
      <c r="C12" s="20" t="s">
        <v>6</v>
      </c>
      <c r="D12" s="20" t="s">
        <v>23</v>
      </c>
      <c r="E12" s="10">
        <v>13.1717777</v>
      </c>
      <c r="F12" s="2" t="s">
        <v>98</v>
      </c>
      <c r="G12" s="2">
        <v>0</v>
      </c>
      <c r="H12" s="2">
        <v>1</v>
      </c>
    </row>
    <row r="13" spans="1:8" ht="15.75" customHeight="1" x14ac:dyDescent="0.25">
      <c r="A13" s="2">
        <v>3</v>
      </c>
      <c r="B13" s="2">
        <v>10</v>
      </c>
      <c r="C13" s="20" t="s">
        <v>6</v>
      </c>
      <c r="D13" s="20" t="s">
        <v>24</v>
      </c>
      <c r="E13" s="10">
        <v>13.273038100000001</v>
      </c>
      <c r="F13" s="2" t="s">
        <v>99</v>
      </c>
      <c r="G13" s="2">
        <v>0</v>
      </c>
      <c r="H13" s="2">
        <v>1</v>
      </c>
    </row>
    <row r="14" spans="1:8" ht="15.75" customHeight="1" x14ac:dyDescent="0.25">
      <c r="A14" s="2">
        <v>3</v>
      </c>
      <c r="B14" s="2">
        <v>11</v>
      </c>
      <c r="C14" s="20" t="s">
        <v>6</v>
      </c>
      <c r="D14" s="20" t="s">
        <v>26</v>
      </c>
      <c r="E14" s="10">
        <v>13.28263902</v>
      </c>
      <c r="F14" s="2" t="s">
        <v>100</v>
      </c>
      <c r="G14" s="2">
        <v>0</v>
      </c>
      <c r="H14" s="2">
        <v>1</v>
      </c>
    </row>
    <row r="15" spans="1:8" ht="15.75" customHeight="1" x14ac:dyDescent="0.25">
      <c r="A15" s="2">
        <v>3</v>
      </c>
      <c r="B15" s="2">
        <v>12</v>
      </c>
      <c r="C15" s="20" t="s">
        <v>6</v>
      </c>
      <c r="D15" s="20" t="s">
        <v>28</v>
      </c>
      <c r="E15" s="10">
        <v>13.30222747</v>
      </c>
      <c r="F15" s="2" t="s">
        <v>101</v>
      </c>
      <c r="G15" s="2">
        <v>0</v>
      </c>
      <c r="H15" s="2">
        <v>1</v>
      </c>
    </row>
    <row r="16" spans="1:8" ht="15.75" customHeight="1" x14ac:dyDescent="0.25">
      <c r="A16" s="2">
        <v>3</v>
      </c>
      <c r="B16" s="2">
        <v>13</v>
      </c>
      <c r="C16" s="20" t="s">
        <v>6</v>
      </c>
      <c r="D16" s="20" t="s">
        <v>30</v>
      </c>
      <c r="E16" s="10">
        <v>13.32785705</v>
      </c>
      <c r="F16" s="2" t="s">
        <v>102</v>
      </c>
      <c r="G16" s="2">
        <v>0</v>
      </c>
      <c r="H16" s="2">
        <v>1</v>
      </c>
    </row>
    <row r="17" spans="1:8" ht="15.75" customHeight="1" x14ac:dyDescent="0.25">
      <c r="A17" s="2">
        <v>3</v>
      </c>
      <c r="B17" s="2">
        <v>14</v>
      </c>
      <c r="C17" s="20" t="s">
        <v>6</v>
      </c>
      <c r="D17" s="20" t="s">
        <v>31</v>
      </c>
      <c r="E17" s="10">
        <v>13.479886820000001</v>
      </c>
      <c r="F17" s="2" t="s">
        <v>103</v>
      </c>
      <c r="G17" s="2">
        <v>0</v>
      </c>
      <c r="H17" s="2">
        <v>1</v>
      </c>
    </row>
    <row r="18" spans="1:8" ht="15.75" customHeight="1" x14ac:dyDescent="0.25">
      <c r="A18" s="2">
        <v>3</v>
      </c>
      <c r="B18" s="2">
        <v>15</v>
      </c>
      <c r="C18" s="20" t="s">
        <v>6</v>
      </c>
      <c r="D18" s="20" t="s">
        <v>33</v>
      </c>
      <c r="E18" s="10">
        <v>13.845038499999999</v>
      </c>
      <c r="F18" s="2" t="s">
        <v>104</v>
      </c>
      <c r="G18" s="2">
        <v>0</v>
      </c>
      <c r="H18" s="2">
        <v>1</v>
      </c>
    </row>
    <row r="19" spans="1:8" ht="15.75" customHeight="1" x14ac:dyDescent="0.25">
      <c r="A19" s="2">
        <v>3</v>
      </c>
      <c r="B19" s="2">
        <v>16</v>
      </c>
      <c r="C19" s="20" t="s">
        <v>6</v>
      </c>
      <c r="D19" s="20" t="s">
        <v>35</v>
      </c>
      <c r="E19" s="10">
        <v>13.8636686</v>
      </c>
      <c r="F19" s="2" t="s">
        <v>105</v>
      </c>
      <c r="G19" s="2">
        <v>0</v>
      </c>
      <c r="H19" s="2">
        <v>1</v>
      </c>
    </row>
    <row r="20" spans="1:8" ht="15.75" customHeight="1" x14ac:dyDescent="0.25">
      <c r="A20" s="2">
        <v>3</v>
      </c>
      <c r="B20" s="2">
        <v>17</v>
      </c>
      <c r="C20" s="20" t="s">
        <v>6</v>
      </c>
      <c r="D20" s="20" t="s">
        <v>37</v>
      </c>
      <c r="E20" s="10">
        <v>13.9034546</v>
      </c>
      <c r="F20" s="2" t="s">
        <v>106</v>
      </c>
      <c r="G20" s="2">
        <v>0</v>
      </c>
      <c r="H20" s="2">
        <v>1</v>
      </c>
    </row>
    <row r="21" spans="1:8" ht="15.75" customHeight="1" x14ac:dyDescent="0.25">
      <c r="A21" s="2">
        <v>3</v>
      </c>
      <c r="B21" s="2">
        <v>18</v>
      </c>
      <c r="C21" s="20" t="s">
        <v>6</v>
      </c>
      <c r="D21" s="20" t="s">
        <v>39</v>
      </c>
      <c r="E21" s="10">
        <v>14.0127381</v>
      </c>
      <c r="F21" s="2" t="s">
        <v>107</v>
      </c>
      <c r="G21" s="2">
        <v>0</v>
      </c>
      <c r="H21" s="2">
        <v>1</v>
      </c>
    </row>
    <row r="22" spans="1:8" ht="15.75" customHeight="1" x14ac:dyDescent="0.25">
      <c r="A22" s="2">
        <v>3</v>
      </c>
      <c r="B22" s="2">
        <v>19</v>
      </c>
      <c r="C22" s="20" t="s">
        <v>6</v>
      </c>
      <c r="D22" s="20" t="s">
        <v>41</v>
      </c>
      <c r="E22" s="10">
        <v>14.063027200000001</v>
      </c>
      <c r="F22" s="2" t="s">
        <v>108</v>
      </c>
      <c r="G22" s="2">
        <v>0</v>
      </c>
      <c r="H22" s="2">
        <v>1</v>
      </c>
    </row>
    <row r="23" spans="1:8" ht="15.75" customHeight="1" x14ac:dyDescent="0.25">
      <c r="A23" s="2">
        <v>3</v>
      </c>
      <c r="B23" s="2">
        <v>20</v>
      </c>
      <c r="C23" s="20" t="s">
        <v>6</v>
      </c>
      <c r="D23" s="20" t="s">
        <v>42</v>
      </c>
      <c r="E23" s="10">
        <v>14.0682977</v>
      </c>
      <c r="F23" s="2" t="s">
        <v>109</v>
      </c>
      <c r="G23" s="2">
        <v>0</v>
      </c>
      <c r="H23" s="2">
        <v>1</v>
      </c>
    </row>
    <row r="24" spans="1:8" x14ac:dyDescent="0.25">
      <c r="A24" s="2">
        <v>3</v>
      </c>
      <c r="B24" s="2">
        <v>21</v>
      </c>
      <c r="C24" s="20" t="s">
        <v>6</v>
      </c>
      <c r="D24" s="20" t="s">
        <v>44</v>
      </c>
      <c r="E24" s="10">
        <v>14.089968499999999</v>
      </c>
      <c r="F24" s="2" t="s">
        <v>110</v>
      </c>
      <c r="G24" s="2">
        <v>0</v>
      </c>
      <c r="H24" s="2">
        <v>1</v>
      </c>
    </row>
    <row r="25" spans="1:8" x14ac:dyDescent="0.25">
      <c r="A25" s="2">
        <v>3</v>
      </c>
      <c r="B25" s="2">
        <v>22</v>
      </c>
      <c r="C25" s="20" t="s">
        <v>6</v>
      </c>
      <c r="D25" s="20" t="s">
        <v>46</v>
      </c>
      <c r="E25" s="10">
        <v>14.0990559</v>
      </c>
      <c r="F25" s="2" t="s">
        <v>111</v>
      </c>
      <c r="G25" s="2">
        <v>0</v>
      </c>
      <c r="H25" s="2">
        <v>1</v>
      </c>
    </row>
    <row r="26" spans="1:8" x14ac:dyDescent="0.25">
      <c r="A26" s="2">
        <v>3</v>
      </c>
      <c r="B26" s="2">
        <v>23</v>
      </c>
      <c r="C26" s="20" t="s">
        <v>6</v>
      </c>
      <c r="D26" s="20" t="s">
        <v>47</v>
      </c>
      <c r="E26" s="10">
        <v>14.1525151</v>
      </c>
      <c r="F26" s="2" t="s">
        <v>112</v>
      </c>
      <c r="G26" s="2">
        <v>0</v>
      </c>
      <c r="H26" s="2">
        <v>1</v>
      </c>
    </row>
    <row r="27" spans="1:8" x14ac:dyDescent="0.25">
      <c r="A27" s="2">
        <v>3</v>
      </c>
      <c r="B27" s="2">
        <v>24</v>
      </c>
      <c r="C27" s="20" t="s">
        <v>6</v>
      </c>
      <c r="D27" s="20" t="s">
        <v>48</v>
      </c>
      <c r="E27" s="10">
        <v>14.2136715</v>
      </c>
      <c r="F27" s="2" t="s">
        <v>113</v>
      </c>
      <c r="G27" s="2">
        <v>0</v>
      </c>
      <c r="H27" s="2">
        <v>1</v>
      </c>
    </row>
    <row r="28" spans="1:8" x14ac:dyDescent="0.25">
      <c r="A28" s="2">
        <v>3</v>
      </c>
      <c r="B28" s="2">
        <v>25</v>
      </c>
      <c r="C28" s="20" t="s">
        <v>6</v>
      </c>
      <c r="D28" s="20" t="s">
        <v>50</v>
      </c>
      <c r="E28" s="10">
        <v>14.234022599999999</v>
      </c>
      <c r="F28" s="2" t="s">
        <v>114</v>
      </c>
      <c r="G28" s="2">
        <v>0</v>
      </c>
      <c r="H28" s="2">
        <v>1</v>
      </c>
    </row>
    <row r="29" spans="1:8" x14ac:dyDescent="0.25">
      <c r="A29" s="2">
        <v>3</v>
      </c>
      <c r="B29" s="2">
        <v>26</v>
      </c>
      <c r="C29" s="20" t="s">
        <v>6</v>
      </c>
      <c r="D29" s="20" t="s">
        <v>51</v>
      </c>
      <c r="E29" s="10">
        <v>14.236106100000001</v>
      </c>
      <c r="F29" s="2" t="s">
        <v>115</v>
      </c>
      <c r="G29" s="2">
        <v>0</v>
      </c>
      <c r="H29" s="2">
        <v>1</v>
      </c>
    </row>
    <row r="30" spans="1:8" x14ac:dyDescent="0.25">
      <c r="A30" s="2">
        <v>3</v>
      </c>
      <c r="B30" s="2">
        <v>27</v>
      </c>
      <c r="C30" s="20" t="s">
        <v>6</v>
      </c>
      <c r="D30" s="20" t="s">
        <v>53</v>
      </c>
      <c r="E30" s="10">
        <v>14.2410277</v>
      </c>
      <c r="F30" s="2" t="s">
        <v>116</v>
      </c>
      <c r="G30" s="2">
        <v>0</v>
      </c>
      <c r="H30" s="2">
        <v>1</v>
      </c>
    </row>
    <row r="31" spans="1:8" x14ac:dyDescent="0.25">
      <c r="A31" s="2">
        <v>3</v>
      </c>
      <c r="B31" s="2">
        <v>28</v>
      </c>
      <c r="C31" s="20" t="s">
        <v>6</v>
      </c>
      <c r="D31" s="20" t="s">
        <v>55</v>
      </c>
      <c r="E31" s="10">
        <v>14.255085599999999</v>
      </c>
      <c r="F31" s="2" t="s">
        <v>117</v>
      </c>
      <c r="G31" s="2">
        <v>0</v>
      </c>
      <c r="H31" s="2">
        <v>1</v>
      </c>
    </row>
    <row r="32" spans="1:8" x14ac:dyDescent="0.25">
      <c r="A32" s="2">
        <v>3</v>
      </c>
      <c r="B32" s="2">
        <v>29</v>
      </c>
      <c r="C32" s="20" t="s">
        <v>6</v>
      </c>
      <c r="D32" s="20" t="s">
        <v>57</v>
      </c>
      <c r="E32" s="10">
        <v>14.303668399999999</v>
      </c>
      <c r="F32" s="2" t="s">
        <v>118</v>
      </c>
      <c r="G32" s="2">
        <v>0</v>
      </c>
      <c r="H32" s="2">
        <v>1</v>
      </c>
    </row>
    <row r="33" spans="1:13" x14ac:dyDescent="0.25">
      <c r="A33" s="2">
        <v>3</v>
      </c>
      <c r="B33" s="2">
        <v>30</v>
      </c>
      <c r="C33" s="20" t="s">
        <v>6</v>
      </c>
      <c r="D33" s="20" t="s">
        <v>59</v>
      </c>
      <c r="E33" s="10">
        <v>14.7108981</v>
      </c>
      <c r="F33" s="2" t="s">
        <v>119</v>
      </c>
      <c r="G33" s="2">
        <v>0</v>
      </c>
      <c r="H33" s="2">
        <v>1</v>
      </c>
    </row>
    <row r="34" spans="1:13" x14ac:dyDescent="0.25">
      <c r="A34" s="2">
        <v>3</v>
      </c>
      <c r="B34" s="2">
        <v>31</v>
      </c>
      <c r="C34" s="20" t="s">
        <v>6</v>
      </c>
      <c r="D34" s="20" t="s">
        <v>61</v>
      </c>
      <c r="E34" s="10">
        <v>14.848368990000001</v>
      </c>
      <c r="F34" s="2" t="s">
        <v>120</v>
      </c>
      <c r="G34" s="2">
        <v>0</v>
      </c>
      <c r="H34" s="2">
        <v>1</v>
      </c>
    </row>
    <row r="35" spans="1:13" x14ac:dyDescent="0.25">
      <c r="A35" s="2">
        <v>3</v>
      </c>
      <c r="B35" s="2">
        <v>32</v>
      </c>
      <c r="C35" s="20" t="s">
        <v>6</v>
      </c>
      <c r="D35" s="20" t="s">
        <v>63</v>
      </c>
      <c r="E35" s="10">
        <v>14.85923</v>
      </c>
      <c r="F35" s="2" t="s">
        <v>121</v>
      </c>
      <c r="G35" s="2">
        <v>0</v>
      </c>
      <c r="H35" s="2">
        <v>1</v>
      </c>
    </row>
    <row r="36" spans="1:13" x14ac:dyDescent="0.25">
      <c r="A36" s="2">
        <v>3</v>
      </c>
      <c r="B36" s="2">
        <v>33</v>
      </c>
      <c r="C36" s="20" t="s">
        <v>6</v>
      </c>
      <c r="D36" s="20" t="s">
        <v>64</v>
      </c>
      <c r="E36" s="10">
        <v>15.00356588</v>
      </c>
      <c r="F36" s="2" t="str">
        <f t="shared" ref="F36:F51" si="0">CONCATENATE(C36,"_",D36,".txt")</f>
        <v>Ar000_Ar033.txt</v>
      </c>
      <c r="G36" s="2">
        <v>0</v>
      </c>
      <c r="H36" s="2">
        <v>1</v>
      </c>
    </row>
    <row r="37" spans="1:13" x14ac:dyDescent="0.25">
      <c r="A37" s="2">
        <v>3</v>
      </c>
      <c r="B37" s="2">
        <v>34</v>
      </c>
      <c r="C37" s="20" t="s">
        <v>6</v>
      </c>
      <c r="D37" s="20" t="s">
        <v>66</v>
      </c>
      <c r="E37" s="10">
        <v>15.02208834</v>
      </c>
      <c r="F37" s="2" t="str">
        <f t="shared" si="0"/>
        <v>Ar000_Ar034.txt</v>
      </c>
      <c r="G37" s="2">
        <v>0</v>
      </c>
      <c r="H37" s="2">
        <v>1</v>
      </c>
    </row>
    <row r="38" spans="1:13" x14ac:dyDescent="0.25">
      <c r="A38" s="2">
        <v>3</v>
      </c>
      <c r="B38" s="2">
        <v>35</v>
      </c>
      <c r="C38" s="20" t="s">
        <v>6</v>
      </c>
      <c r="D38" s="20" t="s">
        <v>68</v>
      </c>
      <c r="E38" s="10">
        <v>15.11774638</v>
      </c>
      <c r="F38" s="2" t="str">
        <f t="shared" si="0"/>
        <v>Ar000_Ar035.txt</v>
      </c>
      <c r="G38" s="2">
        <v>0</v>
      </c>
      <c r="H38" s="2">
        <v>1</v>
      </c>
    </row>
    <row r="39" spans="1:13" x14ac:dyDescent="0.25">
      <c r="A39" s="2">
        <v>3</v>
      </c>
      <c r="B39" s="2">
        <v>36</v>
      </c>
      <c r="C39" s="20" t="s">
        <v>6</v>
      </c>
      <c r="D39" s="20" t="s">
        <v>70</v>
      </c>
      <c r="E39" s="10">
        <v>15.185508</v>
      </c>
      <c r="F39" s="2" t="str">
        <f t="shared" si="0"/>
        <v>Ar000_Ar036.txt</v>
      </c>
      <c r="G39" s="2">
        <v>0</v>
      </c>
      <c r="H39" s="2">
        <v>1</v>
      </c>
    </row>
    <row r="40" spans="1:13" x14ac:dyDescent="0.25">
      <c r="A40" s="2">
        <v>3</v>
      </c>
      <c r="B40" s="2">
        <v>37</v>
      </c>
      <c r="C40" s="20" t="s">
        <v>6</v>
      </c>
      <c r="D40" s="20" t="s">
        <v>72</v>
      </c>
      <c r="E40" s="10">
        <v>15.1898239</v>
      </c>
      <c r="F40" s="2" t="str">
        <f t="shared" si="0"/>
        <v>Ar000_Ar037.txt</v>
      </c>
      <c r="G40" s="2">
        <v>0</v>
      </c>
      <c r="H40" s="2">
        <v>1</v>
      </c>
    </row>
    <row r="41" spans="1:13" x14ac:dyDescent="0.25">
      <c r="A41" s="2">
        <v>3</v>
      </c>
      <c r="B41" s="2">
        <v>38</v>
      </c>
      <c r="C41" s="20" t="s">
        <v>6</v>
      </c>
      <c r="D41" s="20" t="s">
        <v>73</v>
      </c>
      <c r="E41" s="10">
        <v>15.3080777</v>
      </c>
      <c r="F41" s="2" t="str">
        <f t="shared" si="0"/>
        <v>Ar000_Ar038.txt</v>
      </c>
      <c r="G41" s="2">
        <v>0</v>
      </c>
      <c r="H41" s="2">
        <v>1</v>
      </c>
    </row>
    <row r="42" spans="1:13" x14ac:dyDescent="0.25">
      <c r="A42" s="2">
        <v>3</v>
      </c>
      <c r="B42" s="2">
        <v>39</v>
      </c>
      <c r="C42" s="20" t="s">
        <v>6</v>
      </c>
      <c r="D42" s="20" t="s">
        <v>75</v>
      </c>
      <c r="E42" s="10">
        <v>15.351172999999999</v>
      </c>
      <c r="F42" s="2" t="str">
        <f t="shared" si="0"/>
        <v>Ar000_Ar039.txt</v>
      </c>
      <c r="G42" s="2">
        <v>0</v>
      </c>
      <c r="H42" s="2">
        <v>1</v>
      </c>
    </row>
    <row r="43" spans="1:13" x14ac:dyDescent="0.25">
      <c r="A43" s="2">
        <v>3</v>
      </c>
      <c r="B43" s="2">
        <v>40</v>
      </c>
      <c r="C43" s="20" t="s">
        <v>6</v>
      </c>
      <c r="D43" s="20" t="s">
        <v>77</v>
      </c>
      <c r="E43" s="10">
        <v>15.362041400000001</v>
      </c>
      <c r="F43" s="2" t="str">
        <f t="shared" si="0"/>
        <v>Ar000_Ar040.txt</v>
      </c>
      <c r="G43" s="2">
        <v>0</v>
      </c>
      <c r="H43" s="2">
        <v>1</v>
      </c>
    </row>
    <row r="44" spans="1:13" x14ac:dyDescent="0.25">
      <c r="A44" s="2">
        <v>3</v>
      </c>
      <c r="B44" s="2">
        <v>41</v>
      </c>
      <c r="C44" s="20" t="s">
        <v>6</v>
      </c>
      <c r="D44" s="20" t="s">
        <v>79</v>
      </c>
      <c r="E44" s="2">
        <v>15.366089499999999</v>
      </c>
      <c r="F44" s="2" t="str">
        <f t="shared" si="0"/>
        <v>Ar000_Ar041.txt</v>
      </c>
      <c r="G44" s="2">
        <v>0</v>
      </c>
      <c r="H44" s="2">
        <v>1</v>
      </c>
    </row>
    <row r="45" spans="1:13" x14ac:dyDescent="0.25">
      <c r="A45" s="2">
        <v>3</v>
      </c>
      <c r="B45" s="2">
        <v>42</v>
      </c>
      <c r="C45" s="20" t="s">
        <v>37</v>
      </c>
      <c r="D45" s="20" t="s">
        <v>48</v>
      </c>
      <c r="E45" s="2">
        <v>5.0000000000000001E-3</v>
      </c>
      <c r="F45" s="2" t="str">
        <f t="shared" si="0"/>
        <v>Ar017_Ar024.txt</v>
      </c>
      <c r="G45" s="2">
        <v>0</v>
      </c>
      <c r="H45" s="2">
        <v>1</v>
      </c>
    </row>
    <row r="46" spans="1:13" x14ac:dyDescent="0.25">
      <c r="A46" s="2">
        <v>3</v>
      </c>
      <c r="B46" s="2">
        <v>43</v>
      </c>
      <c r="C46" s="20" t="s">
        <v>37</v>
      </c>
      <c r="D46" s="20" t="s">
        <v>57</v>
      </c>
      <c r="E46" s="2">
        <v>3.3000000000000002E-2</v>
      </c>
      <c r="F46" s="2" t="str">
        <f t="shared" si="0"/>
        <v>Ar017_Ar029.txt</v>
      </c>
      <c r="G46" s="2">
        <v>0</v>
      </c>
      <c r="H46" s="2">
        <v>1</v>
      </c>
    </row>
    <row r="47" spans="1:13" x14ac:dyDescent="0.25">
      <c r="A47" s="2">
        <v>3</v>
      </c>
      <c r="B47" s="2">
        <v>44</v>
      </c>
      <c r="C47" s="20" t="s">
        <v>48</v>
      </c>
      <c r="D47" s="20" t="s">
        <v>57</v>
      </c>
      <c r="E47" s="2">
        <v>3.9E-2</v>
      </c>
      <c r="F47" s="2" t="str">
        <f t="shared" si="0"/>
        <v>Ar024_Ar029.txt</v>
      </c>
      <c r="G47" s="2">
        <v>0</v>
      </c>
      <c r="H47" s="2">
        <v>1</v>
      </c>
      <c r="L47" s="20"/>
    </row>
    <row r="48" spans="1:13" x14ac:dyDescent="0.25">
      <c r="A48" s="2">
        <v>3</v>
      </c>
      <c r="B48" s="2">
        <v>45</v>
      </c>
      <c r="C48" s="20" t="s">
        <v>46</v>
      </c>
      <c r="D48" s="20" t="s">
        <v>57</v>
      </c>
      <c r="E48" s="2">
        <v>2.8000000000000001E-2</v>
      </c>
      <c r="F48" s="2" t="str">
        <f t="shared" si="0"/>
        <v>Ar022_Ar029.txt</v>
      </c>
      <c r="G48" s="2">
        <v>0</v>
      </c>
      <c r="H48" s="2">
        <v>1</v>
      </c>
      <c r="L48" s="20"/>
      <c r="M48" s="20"/>
    </row>
    <row r="49" spans="1:8" x14ac:dyDescent="0.25">
      <c r="A49" s="2">
        <v>3</v>
      </c>
      <c r="B49" s="2">
        <v>46</v>
      </c>
      <c r="C49" s="20" t="s">
        <v>53</v>
      </c>
      <c r="D49" s="20" t="s">
        <v>55</v>
      </c>
      <c r="E49" s="2">
        <v>1.7999999999999999E-2</v>
      </c>
      <c r="F49" s="2" t="str">
        <f t="shared" si="0"/>
        <v>Ar027_Ar028.txt</v>
      </c>
      <c r="G49" s="2">
        <v>0</v>
      </c>
      <c r="H49" s="2">
        <v>1</v>
      </c>
    </row>
    <row r="50" spans="1:8" x14ac:dyDescent="0.25">
      <c r="A50" s="2">
        <v>3</v>
      </c>
      <c r="B50" s="2">
        <v>47</v>
      </c>
      <c r="C50" s="20" t="s">
        <v>53</v>
      </c>
      <c r="D50" s="20" t="s">
        <v>57</v>
      </c>
      <c r="E50" s="2">
        <v>6.4000000000000001E-2</v>
      </c>
      <c r="F50" s="2" t="str">
        <f t="shared" si="0"/>
        <v>Ar027_Ar029.txt</v>
      </c>
      <c r="G50" s="2">
        <v>0</v>
      </c>
      <c r="H50" s="2">
        <v>1</v>
      </c>
    </row>
    <row r="51" spans="1:8" x14ac:dyDescent="0.25">
      <c r="A51" s="2">
        <v>3</v>
      </c>
      <c r="B51" s="2">
        <v>48</v>
      </c>
      <c r="C51" s="20" t="s">
        <v>55</v>
      </c>
      <c r="D51" s="20" t="s">
        <v>57</v>
      </c>
      <c r="E51" s="2">
        <v>4.5999999999999999E-2</v>
      </c>
      <c r="F51" s="2" t="str">
        <f t="shared" si="0"/>
        <v>Ar028_Ar029.txt</v>
      </c>
      <c r="G51" s="2">
        <v>1</v>
      </c>
      <c r="H51" s="2">
        <v>1</v>
      </c>
    </row>
    <row r="69" spans="3:4" x14ac:dyDescent="0.25">
      <c r="C69" s="20"/>
      <c r="D69" s="20"/>
    </row>
    <row r="70" spans="3:4" x14ac:dyDescent="0.25">
      <c r="C70" s="20"/>
      <c r="D70" s="20"/>
    </row>
    <row r="71" spans="3:4" x14ac:dyDescent="0.25">
      <c r="C71" s="20"/>
      <c r="D71" s="20"/>
    </row>
    <row r="72" spans="3:4" x14ac:dyDescent="0.25">
      <c r="C72" s="20"/>
      <c r="D72" s="20"/>
    </row>
    <row r="73" spans="3:4" x14ac:dyDescent="0.25">
      <c r="C73" s="20"/>
      <c r="D73" s="20"/>
    </row>
    <row r="74" spans="3:4" x14ac:dyDescent="0.25">
      <c r="C74" s="20"/>
      <c r="D74" s="20"/>
    </row>
    <row r="75" spans="3:4" x14ac:dyDescent="0.25">
      <c r="C75" s="20"/>
      <c r="D75" s="20"/>
    </row>
    <row r="76" spans="3:4" x14ac:dyDescent="0.25">
      <c r="C76" s="20"/>
      <c r="D76" s="20"/>
    </row>
    <row r="77" spans="3:4" x14ac:dyDescent="0.25">
      <c r="C77" s="20"/>
      <c r="D77" s="20"/>
    </row>
    <row r="78" spans="3:4" x14ac:dyDescent="0.25">
      <c r="C78" s="20"/>
      <c r="D78" s="20"/>
    </row>
    <row r="79" spans="3:4" x14ac:dyDescent="0.25">
      <c r="C79" s="20"/>
      <c r="D79" s="20"/>
    </row>
    <row r="80" spans="3:4" x14ac:dyDescent="0.25">
      <c r="C80" s="20"/>
      <c r="D80" s="20"/>
    </row>
    <row r="81" spans="3:4" x14ac:dyDescent="0.25">
      <c r="C81" s="20"/>
      <c r="D81" s="20"/>
    </row>
    <row r="82" spans="3:4" x14ac:dyDescent="0.25">
      <c r="C82" s="20"/>
      <c r="D82" s="20"/>
    </row>
    <row r="83" spans="3:4" x14ac:dyDescent="0.25">
      <c r="C83" s="20"/>
      <c r="D83" s="20"/>
    </row>
    <row r="84" spans="3:4" x14ac:dyDescent="0.25">
      <c r="C84" s="20"/>
      <c r="D84" s="20"/>
    </row>
    <row r="85" spans="3:4" x14ac:dyDescent="0.25">
      <c r="C85" s="20"/>
      <c r="D85" s="20"/>
    </row>
    <row r="86" spans="3:4" x14ac:dyDescent="0.25">
      <c r="C86" s="20"/>
      <c r="D86" s="20"/>
    </row>
    <row r="87" spans="3:4" x14ac:dyDescent="0.25">
      <c r="C87" s="20"/>
      <c r="D87" s="20"/>
    </row>
    <row r="88" spans="3:4" x14ac:dyDescent="0.25">
      <c r="C88" s="20"/>
      <c r="D88" s="20"/>
    </row>
    <row r="89" spans="3:4" x14ac:dyDescent="0.25">
      <c r="C89" s="20"/>
      <c r="D89" s="20"/>
    </row>
    <row r="90" spans="3:4" x14ac:dyDescent="0.25">
      <c r="C90" s="20"/>
      <c r="D90" s="20"/>
    </row>
    <row r="91" spans="3:4" x14ac:dyDescent="0.25">
      <c r="C91" s="20"/>
      <c r="D91" s="20"/>
    </row>
    <row r="92" spans="3:4" x14ac:dyDescent="0.25">
      <c r="C92" s="20"/>
      <c r="D92" s="20"/>
    </row>
    <row r="93" spans="3:4" x14ac:dyDescent="0.25">
      <c r="C93" s="20"/>
      <c r="D93" s="20"/>
    </row>
    <row r="94" spans="3:4" x14ac:dyDescent="0.25">
      <c r="C94" s="20"/>
      <c r="D94" s="20"/>
    </row>
    <row r="95" spans="3:4" x14ac:dyDescent="0.25">
      <c r="C95" s="20"/>
      <c r="D95" s="20"/>
    </row>
    <row r="96" spans="3:4" x14ac:dyDescent="0.25">
      <c r="C96" s="20"/>
      <c r="D96" s="20"/>
    </row>
    <row r="97" spans="3:4" x14ac:dyDescent="0.25">
      <c r="C97" s="20"/>
      <c r="D97" s="20"/>
    </row>
    <row r="98" spans="3:4" x14ac:dyDescent="0.25">
      <c r="C98" s="20"/>
      <c r="D98" s="20"/>
    </row>
    <row r="99" spans="3:4" x14ac:dyDescent="0.25">
      <c r="C99" s="20"/>
      <c r="D99" s="20"/>
    </row>
    <row r="100" spans="3:4" x14ac:dyDescent="0.25">
      <c r="C100" s="20"/>
      <c r="D10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56"/>
  <sheetViews>
    <sheetView workbookViewId="0">
      <selection activeCell="D11" sqref="D11"/>
    </sheetView>
  </sheetViews>
  <sheetFormatPr defaultColWidth="12.6328125" defaultRowHeight="15.75" customHeight="1" x14ac:dyDescent="0.25"/>
  <sheetData>
    <row r="1" spans="1:6" ht="13" x14ac:dyDescent="0.3">
      <c r="A1" s="1" t="s">
        <v>1</v>
      </c>
      <c r="B1" s="1" t="s">
        <v>81</v>
      </c>
      <c r="C1" s="1" t="s">
        <v>122</v>
      </c>
      <c r="D1" s="1" t="s">
        <v>123</v>
      </c>
      <c r="E1" s="1" t="s">
        <v>124</v>
      </c>
      <c r="F1" s="1" t="s">
        <v>125</v>
      </c>
    </row>
    <row r="2" spans="1:6" ht="15.75" customHeight="1" x14ac:dyDescent="0.25">
      <c r="A2" s="2">
        <v>4</v>
      </c>
      <c r="B2" s="2">
        <v>1</v>
      </c>
      <c r="C2" s="2" t="s">
        <v>132</v>
      </c>
      <c r="D2" s="2" t="s">
        <v>132</v>
      </c>
      <c r="E2" s="21">
        <f>0.00000000064</f>
        <v>6.3999999999999996E-10</v>
      </c>
      <c r="F2" s="2">
        <v>0</v>
      </c>
    </row>
    <row r="3" spans="1:6" ht="15.75" customHeight="1" x14ac:dyDescent="0.25">
      <c r="A3" s="2">
        <v>5</v>
      </c>
      <c r="B3" s="2">
        <v>1</v>
      </c>
      <c r="C3" s="2" t="s">
        <v>132</v>
      </c>
      <c r="D3" s="2" t="s">
        <v>130</v>
      </c>
      <c r="E3" s="21">
        <f t="shared" ref="E3" si="0">0.00000000000000209</f>
        <v>2.09E-15</v>
      </c>
      <c r="F3" s="2">
        <v>0</v>
      </c>
    </row>
    <row r="4" spans="1:6" ht="15.75" customHeight="1" x14ac:dyDescent="0.25">
      <c r="E4" s="2"/>
    </row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97A7-F7ED-455E-A865-3404C53D62D1}">
  <dimension ref="A1:Z1000"/>
  <sheetViews>
    <sheetView tabSelected="1" topLeftCell="A131" workbookViewId="0">
      <selection activeCell="J149" sqref="J149"/>
    </sheetView>
  </sheetViews>
  <sheetFormatPr defaultRowHeight="12.5" x14ac:dyDescent="0.25"/>
  <sheetData>
    <row r="1" spans="1:26" ht="26.5" thickBot="1" x14ac:dyDescent="0.35">
      <c r="A1" s="23" t="s">
        <v>1</v>
      </c>
      <c r="B1" s="23" t="s">
        <v>81</v>
      </c>
      <c r="C1" s="23" t="s">
        <v>122</v>
      </c>
      <c r="D1" s="23" t="s">
        <v>123</v>
      </c>
      <c r="E1" s="23" t="s">
        <v>124</v>
      </c>
      <c r="F1" s="23" t="s">
        <v>125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3" thickBot="1" x14ac:dyDescent="0.3">
      <c r="A2" s="25">
        <v>4</v>
      </c>
      <c r="B2" s="25">
        <v>1</v>
      </c>
      <c r="C2" s="24" t="s">
        <v>8</v>
      </c>
      <c r="D2" s="24" t="s">
        <v>8</v>
      </c>
      <c r="E2" s="26">
        <v>6.3999999999999996E-10</v>
      </c>
      <c r="F2" s="25">
        <v>0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3" thickBot="1" x14ac:dyDescent="0.3">
      <c r="A3" s="25">
        <v>4</v>
      </c>
      <c r="B3" s="25">
        <v>2</v>
      </c>
      <c r="C3" s="24" t="s">
        <v>8</v>
      </c>
      <c r="D3" s="24" t="s">
        <v>10</v>
      </c>
      <c r="E3" s="26">
        <v>2.1000000000000002E-9</v>
      </c>
      <c r="F3" s="25">
        <v>0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3" thickBot="1" x14ac:dyDescent="0.3">
      <c r="A4" s="25">
        <v>4</v>
      </c>
      <c r="B4" s="25">
        <v>3</v>
      </c>
      <c r="C4" s="24" t="s">
        <v>8</v>
      </c>
      <c r="D4" s="24" t="s">
        <v>12</v>
      </c>
      <c r="E4" s="26">
        <v>6.3999999999999996E-10</v>
      </c>
      <c r="F4" s="25">
        <v>0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3" thickBot="1" x14ac:dyDescent="0.3">
      <c r="A5" s="25">
        <v>4</v>
      </c>
      <c r="B5" s="25">
        <v>4</v>
      </c>
      <c r="C5" s="24" t="s">
        <v>8</v>
      </c>
      <c r="D5" s="24" t="s">
        <v>14</v>
      </c>
      <c r="E5" s="26">
        <v>2.1000000000000002E-9</v>
      </c>
      <c r="F5" s="25">
        <v>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3" thickBot="1" x14ac:dyDescent="0.3">
      <c r="A6" s="25">
        <v>4</v>
      </c>
      <c r="B6" s="25">
        <v>5</v>
      </c>
      <c r="C6" s="24" t="s">
        <v>10</v>
      </c>
      <c r="D6" s="24" t="s">
        <v>10</v>
      </c>
      <c r="E6" s="26">
        <v>2.1000000000000002E-9</v>
      </c>
      <c r="F6" s="25">
        <v>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3" thickBot="1" x14ac:dyDescent="0.3">
      <c r="A7" s="25">
        <v>4</v>
      </c>
      <c r="B7" s="25">
        <v>6</v>
      </c>
      <c r="C7" s="24" t="s">
        <v>10</v>
      </c>
      <c r="D7" s="24" t="s">
        <v>12</v>
      </c>
      <c r="E7" s="26">
        <v>2.1000000000000002E-9</v>
      </c>
      <c r="F7" s="25">
        <v>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3" thickBot="1" x14ac:dyDescent="0.3">
      <c r="A8" s="25">
        <v>4</v>
      </c>
      <c r="B8" s="25">
        <v>7</v>
      </c>
      <c r="C8" s="24" t="s">
        <v>10</v>
      </c>
      <c r="D8" s="24" t="s">
        <v>14</v>
      </c>
      <c r="E8" s="26">
        <v>2.1000000000000002E-9</v>
      </c>
      <c r="F8" s="25">
        <v>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3" thickBot="1" x14ac:dyDescent="0.3">
      <c r="A9" s="25">
        <v>4</v>
      </c>
      <c r="B9" s="25">
        <v>8</v>
      </c>
      <c r="C9" s="24" t="s">
        <v>12</v>
      </c>
      <c r="D9" s="24" t="s">
        <v>12</v>
      </c>
      <c r="E9" s="26">
        <v>6.3999999999999996E-10</v>
      </c>
      <c r="F9" s="25">
        <v>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3" thickBot="1" x14ac:dyDescent="0.3">
      <c r="A10" s="25">
        <v>4</v>
      </c>
      <c r="B10" s="25">
        <v>9</v>
      </c>
      <c r="C10" s="24" t="s">
        <v>12</v>
      </c>
      <c r="D10" s="24" t="s">
        <v>14</v>
      </c>
      <c r="E10" s="26">
        <v>2.1000000000000002E-9</v>
      </c>
      <c r="F10" s="25">
        <v>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3" thickBot="1" x14ac:dyDescent="0.3">
      <c r="A11" s="25">
        <v>4</v>
      </c>
      <c r="B11" s="25">
        <v>10</v>
      </c>
      <c r="C11" s="24" t="s">
        <v>14</v>
      </c>
      <c r="D11" s="24" t="s">
        <v>14</v>
      </c>
      <c r="E11" s="26">
        <v>2.1000000000000002E-9</v>
      </c>
      <c r="F11" s="25">
        <v>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3" thickBot="1" x14ac:dyDescent="0.3">
      <c r="A12" s="25">
        <v>4</v>
      </c>
      <c r="B12" s="25">
        <v>11</v>
      </c>
      <c r="C12" s="24" t="s">
        <v>8</v>
      </c>
      <c r="D12" s="24" t="s">
        <v>16</v>
      </c>
      <c r="E12" s="26">
        <v>5.0000000000000003E-10</v>
      </c>
      <c r="F12" s="25">
        <v>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3" thickBot="1" x14ac:dyDescent="0.3">
      <c r="A13" s="25">
        <v>4</v>
      </c>
      <c r="B13" s="25">
        <v>12</v>
      </c>
      <c r="C13" s="24" t="s">
        <v>8</v>
      </c>
      <c r="D13" s="24" t="s">
        <v>18</v>
      </c>
      <c r="E13" s="26">
        <v>5.0000000000000003E-10</v>
      </c>
      <c r="F13" s="25">
        <v>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3" thickBot="1" x14ac:dyDescent="0.3">
      <c r="A14" s="25">
        <v>4</v>
      </c>
      <c r="B14" s="25">
        <v>13</v>
      </c>
      <c r="C14" s="24" t="s">
        <v>8</v>
      </c>
      <c r="D14" s="24" t="s">
        <v>20</v>
      </c>
      <c r="E14" s="26">
        <v>5.0000000000000003E-10</v>
      </c>
      <c r="F14" s="25">
        <v>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3" thickBot="1" x14ac:dyDescent="0.3">
      <c r="A15" s="25">
        <v>4</v>
      </c>
      <c r="B15" s="25">
        <v>14</v>
      </c>
      <c r="C15" s="24" t="s">
        <v>8</v>
      </c>
      <c r="D15" s="24" t="s">
        <v>22</v>
      </c>
      <c r="E15" s="26">
        <v>5.0000000000000003E-10</v>
      </c>
      <c r="F15" s="25">
        <v>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3" thickBot="1" x14ac:dyDescent="0.3">
      <c r="A16" s="25">
        <v>4</v>
      </c>
      <c r="B16" s="25">
        <v>15</v>
      </c>
      <c r="C16" s="24" t="s">
        <v>8</v>
      </c>
      <c r="D16" s="24" t="s">
        <v>23</v>
      </c>
      <c r="E16" s="26">
        <v>5.0000000000000003E-10</v>
      </c>
      <c r="F16" s="25">
        <v>0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3" thickBot="1" x14ac:dyDescent="0.3">
      <c r="A17" s="25">
        <v>4</v>
      </c>
      <c r="B17" s="25">
        <v>16</v>
      </c>
      <c r="C17" s="24" t="s">
        <v>8</v>
      </c>
      <c r="D17" s="24" t="s">
        <v>24</v>
      </c>
      <c r="E17" s="26">
        <v>5.0000000000000003E-10</v>
      </c>
      <c r="F17" s="25">
        <v>0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3" thickBot="1" x14ac:dyDescent="0.3">
      <c r="A18" s="25">
        <v>4</v>
      </c>
      <c r="B18" s="25">
        <v>17</v>
      </c>
      <c r="C18" s="24" t="s">
        <v>8</v>
      </c>
      <c r="D18" s="24" t="s">
        <v>26</v>
      </c>
      <c r="E18" s="26">
        <v>5.0000000000000003E-10</v>
      </c>
      <c r="F18" s="25">
        <v>0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3" thickBot="1" x14ac:dyDescent="0.3">
      <c r="A19" s="25">
        <v>4</v>
      </c>
      <c r="B19" s="25">
        <v>18</v>
      </c>
      <c r="C19" s="24" t="s">
        <v>8</v>
      </c>
      <c r="D19" s="24" t="s">
        <v>28</v>
      </c>
      <c r="E19" s="26">
        <v>5.0000000000000003E-10</v>
      </c>
      <c r="F19" s="25">
        <v>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3" thickBot="1" x14ac:dyDescent="0.3">
      <c r="A20" s="25">
        <v>4</v>
      </c>
      <c r="B20" s="25">
        <v>19</v>
      </c>
      <c r="C20" s="24" t="s">
        <v>8</v>
      </c>
      <c r="D20" s="24" t="s">
        <v>30</v>
      </c>
      <c r="E20" s="26">
        <v>5.0000000000000003E-10</v>
      </c>
      <c r="F20" s="25">
        <v>0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3" thickBot="1" x14ac:dyDescent="0.3">
      <c r="A21" s="25">
        <v>4</v>
      </c>
      <c r="B21" s="25">
        <v>20</v>
      </c>
      <c r="C21" s="24" t="s">
        <v>8</v>
      </c>
      <c r="D21" s="24" t="s">
        <v>31</v>
      </c>
      <c r="E21" s="26">
        <v>5.0000000000000003E-10</v>
      </c>
      <c r="F21" s="25">
        <v>0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3" thickBot="1" x14ac:dyDescent="0.3">
      <c r="A22" s="25">
        <v>4</v>
      </c>
      <c r="B22" s="25">
        <v>21</v>
      </c>
      <c r="C22" s="24" t="s">
        <v>10</v>
      </c>
      <c r="D22" s="24" t="s">
        <v>16</v>
      </c>
      <c r="E22" s="26">
        <v>5.0000000000000003E-10</v>
      </c>
      <c r="F22" s="25">
        <v>0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3" thickBot="1" x14ac:dyDescent="0.3">
      <c r="A23" s="25">
        <v>4</v>
      </c>
      <c r="B23" s="25">
        <v>22</v>
      </c>
      <c r="C23" s="24" t="s">
        <v>10</v>
      </c>
      <c r="D23" s="24" t="s">
        <v>18</v>
      </c>
      <c r="E23" s="26">
        <v>5.0000000000000003E-10</v>
      </c>
      <c r="F23" s="25">
        <v>0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3" thickBot="1" x14ac:dyDescent="0.3">
      <c r="A24" s="25">
        <v>4</v>
      </c>
      <c r="B24" s="25">
        <v>23</v>
      </c>
      <c r="C24" s="24" t="s">
        <v>10</v>
      </c>
      <c r="D24" s="24" t="s">
        <v>20</v>
      </c>
      <c r="E24" s="26">
        <v>5.0000000000000003E-10</v>
      </c>
      <c r="F24" s="25">
        <v>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3" thickBot="1" x14ac:dyDescent="0.3">
      <c r="A25" s="25">
        <v>4</v>
      </c>
      <c r="B25" s="25">
        <v>24</v>
      </c>
      <c r="C25" s="24" t="s">
        <v>10</v>
      </c>
      <c r="D25" s="24" t="s">
        <v>22</v>
      </c>
      <c r="E25" s="26">
        <v>5.0000000000000003E-10</v>
      </c>
      <c r="F25" s="25">
        <v>0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3" thickBot="1" x14ac:dyDescent="0.3">
      <c r="A26" s="25">
        <v>4</v>
      </c>
      <c r="B26" s="25">
        <v>25</v>
      </c>
      <c r="C26" s="24" t="s">
        <v>10</v>
      </c>
      <c r="D26" s="24" t="s">
        <v>23</v>
      </c>
      <c r="E26" s="26">
        <v>5.0000000000000003E-10</v>
      </c>
      <c r="F26" s="25">
        <v>0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" thickBot="1" x14ac:dyDescent="0.3">
      <c r="A27" s="25">
        <v>4</v>
      </c>
      <c r="B27" s="25">
        <v>26</v>
      </c>
      <c r="C27" s="24" t="s">
        <v>10</v>
      </c>
      <c r="D27" s="24" t="s">
        <v>24</v>
      </c>
      <c r="E27" s="26">
        <v>5.0000000000000003E-10</v>
      </c>
      <c r="F27" s="25">
        <v>0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3" thickBot="1" x14ac:dyDescent="0.3">
      <c r="A28" s="25">
        <v>4</v>
      </c>
      <c r="B28" s="25">
        <v>27</v>
      </c>
      <c r="C28" s="24" t="s">
        <v>10</v>
      </c>
      <c r="D28" s="24" t="s">
        <v>26</v>
      </c>
      <c r="E28" s="26">
        <v>5.0000000000000003E-10</v>
      </c>
      <c r="F28" s="25">
        <v>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3" thickBot="1" x14ac:dyDescent="0.3">
      <c r="A29" s="25">
        <v>4</v>
      </c>
      <c r="B29" s="25">
        <v>28</v>
      </c>
      <c r="C29" s="24" t="s">
        <v>10</v>
      </c>
      <c r="D29" s="24" t="s">
        <v>28</v>
      </c>
      <c r="E29" s="26">
        <v>5.0000000000000003E-10</v>
      </c>
      <c r="F29" s="25">
        <v>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3" thickBot="1" x14ac:dyDescent="0.3">
      <c r="A30" s="25">
        <v>4</v>
      </c>
      <c r="B30" s="25">
        <v>29</v>
      </c>
      <c r="C30" s="24" t="s">
        <v>10</v>
      </c>
      <c r="D30" s="24" t="s">
        <v>30</v>
      </c>
      <c r="E30" s="26">
        <v>5.0000000000000003E-10</v>
      </c>
      <c r="F30" s="25">
        <v>0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3" thickBot="1" x14ac:dyDescent="0.3">
      <c r="A31" s="25">
        <v>4</v>
      </c>
      <c r="B31" s="25">
        <v>30</v>
      </c>
      <c r="C31" s="24" t="s">
        <v>10</v>
      </c>
      <c r="D31" s="24" t="s">
        <v>31</v>
      </c>
      <c r="E31" s="26">
        <v>5.0000000000000003E-10</v>
      </c>
      <c r="F31" s="25">
        <v>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3" thickBot="1" x14ac:dyDescent="0.3">
      <c r="A32" s="25">
        <v>4</v>
      </c>
      <c r="B32" s="25">
        <v>31</v>
      </c>
      <c r="C32" s="24" t="s">
        <v>12</v>
      </c>
      <c r="D32" s="24" t="s">
        <v>16</v>
      </c>
      <c r="E32" s="26">
        <v>5.0000000000000003E-10</v>
      </c>
      <c r="F32" s="25">
        <v>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" thickBot="1" x14ac:dyDescent="0.3">
      <c r="A33" s="25">
        <v>4</v>
      </c>
      <c r="B33" s="25">
        <v>32</v>
      </c>
      <c r="C33" s="24" t="s">
        <v>12</v>
      </c>
      <c r="D33" s="24" t="s">
        <v>18</v>
      </c>
      <c r="E33" s="26">
        <v>5.0000000000000003E-10</v>
      </c>
      <c r="F33" s="25">
        <v>0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3" thickBot="1" x14ac:dyDescent="0.3">
      <c r="A34" s="25">
        <v>4</v>
      </c>
      <c r="B34" s="25">
        <v>33</v>
      </c>
      <c r="C34" s="24" t="s">
        <v>12</v>
      </c>
      <c r="D34" s="24" t="s">
        <v>20</v>
      </c>
      <c r="E34" s="26">
        <v>5.0000000000000003E-10</v>
      </c>
      <c r="F34" s="25">
        <v>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3" thickBot="1" x14ac:dyDescent="0.3">
      <c r="A35" s="25">
        <v>4</v>
      </c>
      <c r="B35" s="25">
        <v>34</v>
      </c>
      <c r="C35" s="24" t="s">
        <v>12</v>
      </c>
      <c r="D35" s="24" t="s">
        <v>22</v>
      </c>
      <c r="E35" s="26">
        <v>5.0000000000000003E-10</v>
      </c>
      <c r="F35" s="25">
        <v>0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3" thickBot="1" x14ac:dyDescent="0.3">
      <c r="A36" s="25">
        <v>4</v>
      </c>
      <c r="B36" s="25">
        <v>35</v>
      </c>
      <c r="C36" s="24" t="s">
        <v>12</v>
      </c>
      <c r="D36" s="24" t="s">
        <v>23</v>
      </c>
      <c r="E36" s="26">
        <v>5.0000000000000003E-10</v>
      </c>
      <c r="F36" s="25">
        <v>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3" thickBot="1" x14ac:dyDescent="0.3">
      <c r="A37" s="25">
        <v>4</v>
      </c>
      <c r="B37" s="25">
        <v>36</v>
      </c>
      <c r="C37" s="24" t="s">
        <v>12</v>
      </c>
      <c r="D37" s="24" t="s">
        <v>24</v>
      </c>
      <c r="E37" s="26">
        <v>5.0000000000000003E-10</v>
      </c>
      <c r="F37" s="25">
        <v>0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3" thickBot="1" x14ac:dyDescent="0.3">
      <c r="A38" s="25">
        <v>4</v>
      </c>
      <c r="B38" s="25">
        <v>37</v>
      </c>
      <c r="C38" s="24" t="s">
        <v>12</v>
      </c>
      <c r="D38" s="24" t="s">
        <v>26</v>
      </c>
      <c r="E38" s="26">
        <v>5.0000000000000003E-10</v>
      </c>
      <c r="F38" s="25">
        <v>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3" thickBot="1" x14ac:dyDescent="0.3">
      <c r="A39" s="25">
        <v>4</v>
      </c>
      <c r="B39" s="25">
        <v>38</v>
      </c>
      <c r="C39" s="24" t="s">
        <v>12</v>
      </c>
      <c r="D39" s="24" t="s">
        <v>28</v>
      </c>
      <c r="E39" s="26">
        <v>5.0000000000000003E-10</v>
      </c>
      <c r="F39" s="25">
        <v>0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3" thickBot="1" x14ac:dyDescent="0.3">
      <c r="A40" s="25">
        <v>4</v>
      </c>
      <c r="B40" s="25">
        <v>39</v>
      </c>
      <c r="C40" s="24" t="s">
        <v>12</v>
      </c>
      <c r="D40" s="24" t="s">
        <v>30</v>
      </c>
      <c r="E40" s="26">
        <v>5.0000000000000003E-10</v>
      </c>
      <c r="F40" s="25">
        <v>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3" thickBot="1" x14ac:dyDescent="0.3">
      <c r="A41" s="25">
        <v>4</v>
      </c>
      <c r="B41" s="25">
        <v>40</v>
      </c>
      <c r="C41" s="24" t="s">
        <v>12</v>
      </c>
      <c r="D41" s="24" t="s">
        <v>31</v>
      </c>
      <c r="E41" s="26">
        <v>5.0000000000000003E-10</v>
      </c>
      <c r="F41" s="25">
        <v>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3" thickBot="1" x14ac:dyDescent="0.3">
      <c r="A42" s="25">
        <v>4</v>
      </c>
      <c r="B42" s="25">
        <v>41</v>
      </c>
      <c r="C42" s="24" t="s">
        <v>14</v>
      </c>
      <c r="D42" s="24" t="s">
        <v>16</v>
      </c>
      <c r="E42" s="26">
        <v>5.0000000000000003E-10</v>
      </c>
      <c r="F42" s="25">
        <v>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3" thickBot="1" x14ac:dyDescent="0.3">
      <c r="A43" s="25">
        <v>4</v>
      </c>
      <c r="B43" s="25">
        <v>42</v>
      </c>
      <c r="C43" s="24" t="s">
        <v>14</v>
      </c>
      <c r="D43" s="24" t="s">
        <v>18</v>
      </c>
      <c r="E43" s="26">
        <v>5.0000000000000003E-10</v>
      </c>
      <c r="F43" s="25">
        <v>0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3" thickBot="1" x14ac:dyDescent="0.3">
      <c r="A44" s="25">
        <v>4</v>
      </c>
      <c r="B44" s="25">
        <v>43</v>
      </c>
      <c r="C44" s="24" t="s">
        <v>14</v>
      </c>
      <c r="D44" s="24" t="s">
        <v>20</v>
      </c>
      <c r="E44" s="26">
        <v>5.0000000000000003E-10</v>
      </c>
      <c r="F44" s="25">
        <v>0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3" thickBot="1" x14ac:dyDescent="0.3">
      <c r="A45" s="25">
        <v>4</v>
      </c>
      <c r="B45" s="25">
        <v>44</v>
      </c>
      <c r="C45" s="24" t="s">
        <v>14</v>
      </c>
      <c r="D45" s="24" t="s">
        <v>22</v>
      </c>
      <c r="E45" s="26">
        <v>5.0000000000000003E-10</v>
      </c>
      <c r="F45" s="25">
        <v>0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3" thickBot="1" x14ac:dyDescent="0.3">
      <c r="A46" s="25">
        <v>4</v>
      </c>
      <c r="B46" s="25">
        <v>45</v>
      </c>
      <c r="C46" s="24" t="s">
        <v>14</v>
      </c>
      <c r="D46" s="24" t="s">
        <v>23</v>
      </c>
      <c r="E46" s="26">
        <v>5.0000000000000003E-10</v>
      </c>
      <c r="F46" s="25">
        <v>0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3" thickBot="1" x14ac:dyDescent="0.3">
      <c r="A47" s="25">
        <v>4</v>
      </c>
      <c r="B47" s="25">
        <v>46</v>
      </c>
      <c r="C47" s="24" t="s">
        <v>14</v>
      </c>
      <c r="D47" s="24" t="s">
        <v>24</v>
      </c>
      <c r="E47" s="26">
        <v>5.0000000000000003E-10</v>
      </c>
      <c r="F47" s="25">
        <v>0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3" thickBot="1" x14ac:dyDescent="0.3">
      <c r="A48" s="25">
        <v>4</v>
      </c>
      <c r="B48" s="25">
        <v>47</v>
      </c>
      <c r="C48" s="24" t="s">
        <v>14</v>
      </c>
      <c r="D48" s="24" t="s">
        <v>26</v>
      </c>
      <c r="E48" s="26">
        <v>5.0000000000000003E-10</v>
      </c>
      <c r="F48" s="25">
        <v>0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3" thickBot="1" x14ac:dyDescent="0.3">
      <c r="A49" s="25">
        <v>4</v>
      </c>
      <c r="B49" s="25">
        <v>48</v>
      </c>
      <c r="C49" s="24" t="s">
        <v>14</v>
      </c>
      <c r="D49" s="24" t="s">
        <v>28</v>
      </c>
      <c r="E49" s="26">
        <v>5.0000000000000003E-10</v>
      </c>
      <c r="F49" s="25">
        <v>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3" thickBot="1" x14ac:dyDescent="0.3">
      <c r="A50" s="25">
        <v>4</v>
      </c>
      <c r="B50" s="25">
        <v>49</v>
      </c>
      <c r="C50" s="24" t="s">
        <v>14</v>
      </c>
      <c r="D50" s="24" t="s">
        <v>30</v>
      </c>
      <c r="E50" s="26">
        <v>5.0000000000000003E-10</v>
      </c>
      <c r="F50" s="25">
        <v>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3" thickBot="1" x14ac:dyDescent="0.3">
      <c r="A51" s="25">
        <v>4</v>
      </c>
      <c r="B51" s="25">
        <v>50</v>
      </c>
      <c r="C51" s="24" t="s">
        <v>14</v>
      </c>
      <c r="D51" s="24" t="s">
        <v>31</v>
      </c>
      <c r="E51" s="26">
        <v>5.0000000000000003E-10</v>
      </c>
      <c r="F51" s="25">
        <v>0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3" thickBot="1" x14ac:dyDescent="0.3">
      <c r="A52" s="25">
        <v>4</v>
      </c>
      <c r="B52" s="25">
        <v>51</v>
      </c>
      <c r="C52" s="24" t="s">
        <v>16</v>
      </c>
      <c r="D52" s="24" t="s">
        <v>16</v>
      </c>
      <c r="E52" s="26">
        <v>5.0000000000000003E-10</v>
      </c>
      <c r="F52" s="25">
        <v>0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3" thickBot="1" x14ac:dyDescent="0.3">
      <c r="A53" s="25">
        <v>4</v>
      </c>
      <c r="B53" s="25">
        <v>52</v>
      </c>
      <c r="C53" s="24" t="s">
        <v>16</v>
      </c>
      <c r="D53" s="24" t="s">
        <v>18</v>
      </c>
      <c r="E53" s="26">
        <v>5.0000000000000003E-10</v>
      </c>
      <c r="F53" s="25">
        <v>0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3" thickBot="1" x14ac:dyDescent="0.3">
      <c r="A54" s="25">
        <v>4</v>
      </c>
      <c r="B54" s="25">
        <v>53</v>
      </c>
      <c r="C54" s="24" t="s">
        <v>16</v>
      </c>
      <c r="D54" s="24" t="s">
        <v>20</v>
      </c>
      <c r="E54" s="26">
        <v>5.0000000000000003E-10</v>
      </c>
      <c r="F54" s="25">
        <v>0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3" thickBot="1" x14ac:dyDescent="0.3">
      <c r="A55" s="25">
        <v>4</v>
      </c>
      <c r="B55" s="25">
        <v>54</v>
      </c>
      <c r="C55" s="24" t="s">
        <v>16</v>
      </c>
      <c r="D55" s="24" t="s">
        <v>22</v>
      </c>
      <c r="E55" s="26">
        <v>5.0000000000000003E-10</v>
      </c>
      <c r="F55" s="25">
        <v>0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3" thickBot="1" x14ac:dyDescent="0.3">
      <c r="A56" s="25">
        <v>4</v>
      </c>
      <c r="B56" s="25">
        <v>55</v>
      </c>
      <c r="C56" s="24" t="s">
        <v>16</v>
      </c>
      <c r="D56" s="24" t="s">
        <v>23</v>
      </c>
      <c r="E56" s="26">
        <v>5.0000000000000003E-10</v>
      </c>
      <c r="F56" s="25">
        <v>0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3" thickBot="1" x14ac:dyDescent="0.3">
      <c r="A57" s="25">
        <v>4</v>
      </c>
      <c r="B57" s="25">
        <v>56</v>
      </c>
      <c r="C57" s="24" t="s">
        <v>16</v>
      </c>
      <c r="D57" s="24" t="s">
        <v>24</v>
      </c>
      <c r="E57" s="26">
        <v>5.0000000000000003E-10</v>
      </c>
      <c r="F57" s="25">
        <v>0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3" thickBot="1" x14ac:dyDescent="0.3">
      <c r="A58" s="25">
        <v>4</v>
      </c>
      <c r="B58" s="25">
        <v>57</v>
      </c>
      <c r="C58" s="24" t="s">
        <v>16</v>
      </c>
      <c r="D58" s="24" t="s">
        <v>26</v>
      </c>
      <c r="E58" s="26">
        <v>5.0000000000000003E-10</v>
      </c>
      <c r="F58" s="25">
        <v>0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3" thickBot="1" x14ac:dyDescent="0.3">
      <c r="A59" s="25">
        <v>4</v>
      </c>
      <c r="B59" s="25">
        <v>58</v>
      </c>
      <c r="C59" s="24" t="s">
        <v>16</v>
      </c>
      <c r="D59" s="24" t="s">
        <v>28</v>
      </c>
      <c r="E59" s="26">
        <v>5.0000000000000003E-10</v>
      </c>
      <c r="F59" s="25">
        <v>0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3" thickBot="1" x14ac:dyDescent="0.3">
      <c r="A60" s="25">
        <v>4</v>
      </c>
      <c r="B60" s="25">
        <v>59</v>
      </c>
      <c r="C60" s="24" t="s">
        <v>16</v>
      </c>
      <c r="D60" s="24" t="s">
        <v>30</v>
      </c>
      <c r="E60" s="26">
        <v>5.0000000000000003E-10</v>
      </c>
      <c r="F60" s="25">
        <v>0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3" thickBot="1" x14ac:dyDescent="0.3">
      <c r="A61" s="25">
        <v>4</v>
      </c>
      <c r="B61" s="25">
        <v>60</v>
      </c>
      <c r="C61" s="24" t="s">
        <v>16</v>
      </c>
      <c r="D61" s="24" t="s">
        <v>31</v>
      </c>
      <c r="E61" s="26">
        <v>5.0000000000000003E-10</v>
      </c>
      <c r="F61" s="25">
        <v>0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3" thickBot="1" x14ac:dyDescent="0.3">
      <c r="A62" s="25">
        <v>4</v>
      </c>
      <c r="B62" s="25">
        <v>61</v>
      </c>
      <c r="C62" s="24" t="s">
        <v>18</v>
      </c>
      <c r="D62" s="24" t="s">
        <v>16</v>
      </c>
      <c r="E62" s="26">
        <v>5.0000000000000003E-10</v>
      </c>
      <c r="F62" s="25">
        <v>0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3" thickBot="1" x14ac:dyDescent="0.3">
      <c r="A63" s="25">
        <v>4</v>
      </c>
      <c r="B63" s="25">
        <v>62</v>
      </c>
      <c r="C63" s="24" t="s">
        <v>18</v>
      </c>
      <c r="D63" s="24" t="s">
        <v>18</v>
      </c>
      <c r="E63" s="26">
        <v>5.0000000000000003E-10</v>
      </c>
      <c r="F63" s="25">
        <v>0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3" thickBot="1" x14ac:dyDescent="0.3">
      <c r="A64" s="25">
        <v>4</v>
      </c>
      <c r="B64" s="25">
        <v>63</v>
      </c>
      <c r="C64" s="24" t="s">
        <v>18</v>
      </c>
      <c r="D64" s="24" t="s">
        <v>20</v>
      </c>
      <c r="E64" s="26">
        <v>5.0000000000000003E-10</v>
      </c>
      <c r="F64" s="25">
        <v>0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3" thickBot="1" x14ac:dyDescent="0.3">
      <c r="A65" s="25">
        <v>4</v>
      </c>
      <c r="B65" s="25">
        <v>64</v>
      </c>
      <c r="C65" s="24" t="s">
        <v>18</v>
      </c>
      <c r="D65" s="24" t="s">
        <v>22</v>
      </c>
      <c r="E65" s="26">
        <v>5.0000000000000003E-10</v>
      </c>
      <c r="F65" s="25">
        <v>0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3" thickBot="1" x14ac:dyDescent="0.3">
      <c r="A66" s="25">
        <v>4</v>
      </c>
      <c r="B66" s="25">
        <v>65</v>
      </c>
      <c r="C66" s="24" t="s">
        <v>18</v>
      </c>
      <c r="D66" s="24" t="s">
        <v>23</v>
      </c>
      <c r="E66" s="26">
        <v>5.0000000000000003E-10</v>
      </c>
      <c r="F66" s="25">
        <v>0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3" thickBot="1" x14ac:dyDescent="0.3">
      <c r="A67" s="25">
        <v>4</v>
      </c>
      <c r="B67" s="25">
        <v>66</v>
      </c>
      <c r="C67" s="24" t="s">
        <v>18</v>
      </c>
      <c r="D67" s="24" t="s">
        <v>24</v>
      </c>
      <c r="E67" s="26">
        <v>5.0000000000000003E-10</v>
      </c>
      <c r="F67" s="25">
        <v>0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3" thickBot="1" x14ac:dyDescent="0.3">
      <c r="A68" s="25">
        <v>4</v>
      </c>
      <c r="B68" s="25">
        <v>67</v>
      </c>
      <c r="C68" s="24" t="s">
        <v>18</v>
      </c>
      <c r="D68" s="24" t="s">
        <v>26</v>
      </c>
      <c r="E68" s="26">
        <v>5.0000000000000003E-10</v>
      </c>
      <c r="F68" s="25">
        <v>0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3" thickBot="1" x14ac:dyDescent="0.3">
      <c r="A69" s="25">
        <v>4</v>
      </c>
      <c r="B69" s="25">
        <v>68</v>
      </c>
      <c r="C69" s="24" t="s">
        <v>18</v>
      </c>
      <c r="D69" s="24" t="s">
        <v>28</v>
      </c>
      <c r="E69" s="26">
        <v>5.0000000000000003E-10</v>
      </c>
      <c r="F69" s="25">
        <v>0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3" thickBot="1" x14ac:dyDescent="0.3">
      <c r="A70" s="25">
        <v>4</v>
      </c>
      <c r="B70" s="25">
        <v>69</v>
      </c>
      <c r="C70" s="24" t="s">
        <v>18</v>
      </c>
      <c r="D70" s="24" t="s">
        <v>30</v>
      </c>
      <c r="E70" s="26">
        <v>5.0000000000000003E-10</v>
      </c>
      <c r="F70" s="25">
        <v>0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3" thickBot="1" x14ac:dyDescent="0.3">
      <c r="A71" s="25">
        <v>4</v>
      </c>
      <c r="B71" s="25">
        <v>70</v>
      </c>
      <c r="C71" s="24" t="s">
        <v>18</v>
      </c>
      <c r="D71" s="24" t="s">
        <v>31</v>
      </c>
      <c r="E71" s="26">
        <v>5.0000000000000003E-10</v>
      </c>
      <c r="F71" s="25">
        <v>0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3" thickBot="1" x14ac:dyDescent="0.3">
      <c r="A72" s="25">
        <v>4</v>
      </c>
      <c r="B72" s="25">
        <v>71</v>
      </c>
      <c r="C72" s="24" t="s">
        <v>20</v>
      </c>
      <c r="D72" s="24" t="s">
        <v>16</v>
      </c>
      <c r="E72" s="26">
        <v>5.0000000000000003E-10</v>
      </c>
      <c r="F72" s="25">
        <v>0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3" thickBot="1" x14ac:dyDescent="0.3">
      <c r="A73" s="25">
        <v>4</v>
      </c>
      <c r="B73" s="25">
        <v>72</v>
      </c>
      <c r="C73" s="24" t="s">
        <v>20</v>
      </c>
      <c r="D73" s="24" t="s">
        <v>18</v>
      </c>
      <c r="E73" s="26">
        <v>5.0000000000000003E-10</v>
      </c>
      <c r="F73" s="25">
        <v>0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3" thickBot="1" x14ac:dyDescent="0.3">
      <c r="A74" s="25">
        <v>4</v>
      </c>
      <c r="B74" s="25">
        <v>73</v>
      </c>
      <c r="C74" s="24" t="s">
        <v>20</v>
      </c>
      <c r="D74" s="24" t="s">
        <v>20</v>
      </c>
      <c r="E74" s="26">
        <v>5.0000000000000003E-10</v>
      </c>
      <c r="F74" s="25">
        <v>0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3" thickBot="1" x14ac:dyDescent="0.3">
      <c r="A75" s="25">
        <v>4</v>
      </c>
      <c r="B75" s="25">
        <v>74</v>
      </c>
      <c r="C75" s="24" t="s">
        <v>20</v>
      </c>
      <c r="D75" s="24" t="s">
        <v>22</v>
      </c>
      <c r="E75" s="26">
        <v>5.0000000000000003E-10</v>
      </c>
      <c r="F75" s="25">
        <v>0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" thickBot="1" x14ac:dyDescent="0.3">
      <c r="A76" s="25">
        <v>4</v>
      </c>
      <c r="B76" s="25">
        <v>75</v>
      </c>
      <c r="C76" s="24" t="s">
        <v>20</v>
      </c>
      <c r="D76" s="24" t="s">
        <v>23</v>
      </c>
      <c r="E76" s="26">
        <v>5.0000000000000003E-10</v>
      </c>
      <c r="F76" s="25">
        <v>0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3" thickBot="1" x14ac:dyDescent="0.3">
      <c r="A77" s="25">
        <v>4</v>
      </c>
      <c r="B77" s="25">
        <v>76</v>
      </c>
      <c r="C77" s="24" t="s">
        <v>20</v>
      </c>
      <c r="D77" s="24" t="s">
        <v>24</v>
      </c>
      <c r="E77" s="26">
        <v>5.0000000000000003E-10</v>
      </c>
      <c r="F77" s="25">
        <v>0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3" thickBot="1" x14ac:dyDescent="0.3">
      <c r="A78" s="25">
        <v>4</v>
      </c>
      <c r="B78" s="25">
        <v>77</v>
      </c>
      <c r="C78" s="24" t="s">
        <v>20</v>
      </c>
      <c r="D78" s="24" t="s">
        <v>26</v>
      </c>
      <c r="E78" s="26">
        <v>5.0000000000000003E-10</v>
      </c>
      <c r="F78" s="25">
        <v>0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3" thickBot="1" x14ac:dyDescent="0.3">
      <c r="A79" s="25">
        <v>4</v>
      </c>
      <c r="B79" s="25">
        <v>78</v>
      </c>
      <c r="C79" s="24" t="s">
        <v>20</v>
      </c>
      <c r="D79" s="24" t="s">
        <v>28</v>
      </c>
      <c r="E79" s="26">
        <v>5.0000000000000003E-10</v>
      </c>
      <c r="F79" s="25">
        <v>0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3" thickBot="1" x14ac:dyDescent="0.3">
      <c r="A80" s="25">
        <v>4</v>
      </c>
      <c r="B80" s="25">
        <v>79</v>
      </c>
      <c r="C80" s="24" t="s">
        <v>20</v>
      </c>
      <c r="D80" s="24" t="s">
        <v>30</v>
      </c>
      <c r="E80" s="26">
        <v>5.0000000000000003E-10</v>
      </c>
      <c r="F80" s="25">
        <v>0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3" thickBot="1" x14ac:dyDescent="0.3">
      <c r="A81" s="25">
        <v>4</v>
      </c>
      <c r="B81" s="25">
        <v>80</v>
      </c>
      <c r="C81" s="24" t="s">
        <v>20</v>
      </c>
      <c r="D81" s="24" t="s">
        <v>31</v>
      </c>
      <c r="E81" s="26">
        <v>5.0000000000000003E-10</v>
      </c>
      <c r="F81" s="25">
        <v>0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3" thickBot="1" x14ac:dyDescent="0.3">
      <c r="A82" s="25">
        <v>4</v>
      </c>
      <c r="B82" s="25">
        <v>81</v>
      </c>
      <c r="C82" s="24" t="s">
        <v>22</v>
      </c>
      <c r="D82" s="24" t="s">
        <v>16</v>
      </c>
      <c r="E82" s="26">
        <v>5.0000000000000003E-10</v>
      </c>
      <c r="F82" s="25">
        <v>0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" thickBot="1" x14ac:dyDescent="0.3">
      <c r="A83" s="25">
        <v>4</v>
      </c>
      <c r="B83" s="25">
        <v>82</v>
      </c>
      <c r="C83" s="24" t="s">
        <v>22</v>
      </c>
      <c r="D83" s="24" t="s">
        <v>18</v>
      </c>
      <c r="E83" s="26">
        <v>5.0000000000000003E-10</v>
      </c>
      <c r="F83" s="25">
        <v>0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3" thickBot="1" x14ac:dyDescent="0.3">
      <c r="A84" s="25">
        <v>4</v>
      </c>
      <c r="B84" s="25">
        <v>83</v>
      </c>
      <c r="C84" s="24" t="s">
        <v>22</v>
      </c>
      <c r="D84" s="24" t="s">
        <v>20</v>
      </c>
      <c r="E84" s="26">
        <v>5.0000000000000003E-10</v>
      </c>
      <c r="F84" s="25">
        <v>0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3" thickBot="1" x14ac:dyDescent="0.3">
      <c r="A85" s="25">
        <v>4</v>
      </c>
      <c r="B85" s="25">
        <v>84</v>
      </c>
      <c r="C85" s="24" t="s">
        <v>22</v>
      </c>
      <c r="D85" s="24" t="s">
        <v>22</v>
      </c>
      <c r="E85" s="26">
        <v>5.0000000000000003E-10</v>
      </c>
      <c r="F85" s="25">
        <v>0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3" thickBot="1" x14ac:dyDescent="0.3">
      <c r="A86" s="25">
        <v>4</v>
      </c>
      <c r="B86" s="25">
        <v>85</v>
      </c>
      <c r="C86" s="24" t="s">
        <v>22</v>
      </c>
      <c r="D86" s="24" t="s">
        <v>23</v>
      </c>
      <c r="E86" s="26">
        <v>5.0000000000000003E-10</v>
      </c>
      <c r="F86" s="25">
        <v>0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" thickBot="1" x14ac:dyDescent="0.3">
      <c r="A87" s="25">
        <v>4</v>
      </c>
      <c r="B87" s="25">
        <v>86</v>
      </c>
      <c r="C87" s="24" t="s">
        <v>22</v>
      </c>
      <c r="D87" s="24" t="s">
        <v>24</v>
      </c>
      <c r="E87" s="26">
        <v>5.0000000000000003E-10</v>
      </c>
      <c r="F87" s="25">
        <v>0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3" thickBot="1" x14ac:dyDescent="0.3">
      <c r="A88" s="25">
        <v>4</v>
      </c>
      <c r="B88" s="25">
        <v>87</v>
      </c>
      <c r="C88" s="24" t="s">
        <v>22</v>
      </c>
      <c r="D88" s="24" t="s">
        <v>26</v>
      </c>
      <c r="E88" s="26">
        <v>5.0000000000000003E-10</v>
      </c>
      <c r="F88" s="25">
        <v>0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" thickBot="1" x14ac:dyDescent="0.3">
      <c r="A89" s="25">
        <v>4</v>
      </c>
      <c r="B89" s="25">
        <v>88</v>
      </c>
      <c r="C89" s="24" t="s">
        <v>22</v>
      </c>
      <c r="D89" s="24" t="s">
        <v>28</v>
      </c>
      <c r="E89" s="26">
        <v>5.0000000000000003E-10</v>
      </c>
      <c r="F89" s="25">
        <v>0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3" thickBot="1" x14ac:dyDescent="0.3">
      <c r="A90" s="25">
        <v>4</v>
      </c>
      <c r="B90" s="25">
        <v>89</v>
      </c>
      <c r="C90" s="24" t="s">
        <v>22</v>
      </c>
      <c r="D90" s="24" t="s">
        <v>30</v>
      </c>
      <c r="E90" s="26">
        <v>5.0000000000000003E-10</v>
      </c>
      <c r="F90" s="25">
        <v>0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3" thickBot="1" x14ac:dyDescent="0.3">
      <c r="A91" s="25">
        <v>4</v>
      </c>
      <c r="B91" s="25">
        <v>90</v>
      </c>
      <c r="C91" s="24" t="s">
        <v>22</v>
      </c>
      <c r="D91" s="24" t="s">
        <v>31</v>
      </c>
      <c r="E91" s="26">
        <v>5.0000000000000003E-10</v>
      </c>
      <c r="F91" s="25">
        <v>0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3" thickBot="1" x14ac:dyDescent="0.3">
      <c r="A92" s="25">
        <v>4</v>
      </c>
      <c r="B92" s="25">
        <v>91</v>
      </c>
      <c r="C92" s="24" t="s">
        <v>23</v>
      </c>
      <c r="D92" s="24" t="s">
        <v>16</v>
      </c>
      <c r="E92" s="26">
        <v>5.0000000000000003E-10</v>
      </c>
      <c r="F92" s="25">
        <v>0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3" thickBot="1" x14ac:dyDescent="0.3">
      <c r="A93" s="25">
        <v>4</v>
      </c>
      <c r="B93" s="25">
        <v>92</v>
      </c>
      <c r="C93" s="24" t="s">
        <v>23</v>
      </c>
      <c r="D93" s="24" t="s">
        <v>18</v>
      </c>
      <c r="E93" s="26">
        <v>5.0000000000000003E-10</v>
      </c>
      <c r="F93" s="25">
        <v>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3" thickBot="1" x14ac:dyDescent="0.3">
      <c r="A94" s="25">
        <v>4</v>
      </c>
      <c r="B94" s="25">
        <v>93</v>
      </c>
      <c r="C94" s="24" t="s">
        <v>23</v>
      </c>
      <c r="D94" s="24" t="s">
        <v>20</v>
      </c>
      <c r="E94" s="26">
        <v>5.0000000000000003E-10</v>
      </c>
      <c r="F94" s="25">
        <v>0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3" thickBot="1" x14ac:dyDescent="0.3">
      <c r="A95" s="25">
        <v>4</v>
      </c>
      <c r="B95" s="25">
        <v>94</v>
      </c>
      <c r="C95" s="24" t="s">
        <v>23</v>
      </c>
      <c r="D95" s="24" t="s">
        <v>22</v>
      </c>
      <c r="E95" s="26">
        <v>5.0000000000000003E-10</v>
      </c>
      <c r="F95" s="25">
        <v>0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3" thickBot="1" x14ac:dyDescent="0.3">
      <c r="A96" s="25">
        <v>4</v>
      </c>
      <c r="B96" s="25">
        <v>95</v>
      </c>
      <c r="C96" s="24" t="s">
        <v>23</v>
      </c>
      <c r="D96" s="24" t="s">
        <v>23</v>
      </c>
      <c r="E96" s="26">
        <v>5.0000000000000003E-10</v>
      </c>
      <c r="F96" s="25">
        <v>0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" thickBot="1" x14ac:dyDescent="0.3">
      <c r="A97" s="25">
        <v>4</v>
      </c>
      <c r="B97" s="25">
        <v>96</v>
      </c>
      <c r="C97" s="24" t="s">
        <v>23</v>
      </c>
      <c r="D97" s="24" t="s">
        <v>24</v>
      </c>
      <c r="E97" s="26">
        <v>5.0000000000000003E-10</v>
      </c>
      <c r="F97" s="25">
        <v>0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3" thickBot="1" x14ac:dyDescent="0.3">
      <c r="A98" s="25">
        <v>4</v>
      </c>
      <c r="B98" s="25">
        <v>97</v>
      </c>
      <c r="C98" s="24" t="s">
        <v>23</v>
      </c>
      <c r="D98" s="24" t="s">
        <v>26</v>
      </c>
      <c r="E98" s="26">
        <v>5.0000000000000003E-10</v>
      </c>
      <c r="F98" s="25">
        <v>0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3" thickBot="1" x14ac:dyDescent="0.3">
      <c r="A99" s="25">
        <v>4</v>
      </c>
      <c r="B99" s="25">
        <v>98</v>
      </c>
      <c r="C99" s="24" t="s">
        <v>23</v>
      </c>
      <c r="D99" s="24" t="s">
        <v>28</v>
      </c>
      <c r="E99" s="26">
        <v>5.0000000000000003E-10</v>
      </c>
      <c r="F99" s="25">
        <v>0</v>
      </c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3" thickBot="1" x14ac:dyDescent="0.3">
      <c r="A100" s="25">
        <v>4</v>
      </c>
      <c r="B100" s="25">
        <v>99</v>
      </c>
      <c r="C100" s="24" t="s">
        <v>23</v>
      </c>
      <c r="D100" s="24" t="s">
        <v>30</v>
      </c>
      <c r="E100" s="26">
        <v>5.0000000000000003E-10</v>
      </c>
      <c r="F100" s="25">
        <v>0</v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3" thickBot="1" x14ac:dyDescent="0.3">
      <c r="A101" s="25">
        <v>4</v>
      </c>
      <c r="B101" s="25">
        <v>100</v>
      </c>
      <c r="C101" s="24" t="s">
        <v>23</v>
      </c>
      <c r="D101" s="24" t="s">
        <v>31</v>
      </c>
      <c r="E101" s="26">
        <v>5.0000000000000003E-10</v>
      </c>
      <c r="F101" s="25">
        <v>0</v>
      </c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3" thickBot="1" x14ac:dyDescent="0.3">
      <c r="A102" s="25">
        <v>4</v>
      </c>
      <c r="B102" s="25">
        <v>101</v>
      </c>
      <c r="C102" s="24" t="s">
        <v>24</v>
      </c>
      <c r="D102" s="24" t="s">
        <v>16</v>
      </c>
      <c r="E102" s="26">
        <v>5.0000000000000003E-10</v>
      </c>
      <c r="F102" s="25">
        <v>0</v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3" thickBot="1" x14ac:dyDescent="0.3">
      <c r="A103" s="25">
        <v>4</v>
      </c>
      <c r="B103" s="25">
        <v>102</v>
      </c>
      <c r="C103" s="24" t="s">
        <v>24</v>
      </c>
      <c r="D103" s="24" t="s">
        <v>18</v>
      </c>
      <c r="E103" s="26">
        <v>5.0000000000000003E-10</v>
      </c>
      <c r="F103" s="25">
        <v>0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3" thickBot="1" x14ac:dyDescent="0.3">
      <c r="A104" s="25">
        <v>4</v>
      </c>
      <c r="B104" s="25">
        <v>103</v>
      </c>
      <c r="C104" s="24" t="s">
        <v>24</v>
      </c>
      <c r="D104" s="24" t="s">
        <v>20</v>
      </c>
      <c r="E104" s="26">
        <v>5.0000000000000003E-10</v>
      </c>
      <c r="F104" s="25">
        <v>0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" thickBot="1" x14ac:dyDescent="0.3">
      <c r="A105" s="25">
        <v>4</v>
      </c>
      <c r="B105" s="25">
        <v>104</v>
      </c>
      <c r="C105" s="24" t="s">
        <v>24</v>
      </c>
      <c r="D105" s="24" t="s">
        <v>22</v>
      </c>
      <c r="E105" s="26">
        <v>5.0000000000000003E-10</v>
      </c>
      <c r="F105" s="25">
        <v>0</v>
      </c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3" thickBot="1" x14ac:dyDescent="0.3">
      <c r="A106" s="25">
        <v>4</v>
      </c>
      <c r="B106" s="25">
        <v>105</v>
      </c>
      <c r="C106" s="24" t="s">
        <v>24</v>
      </c>
      <c r="D106" s="24" t="s">
        <v>23</v>
      </c>
      <c r="E106" s="26">
        <v>5.0000000000000003E-10</v>
      </c>
      <c r="F106" s="25">
        <v>0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3" thickBot="1" x14ac:dyDescent="0.3">
      <c r="A107" s="25">
        <v>4</v>
      </c>
      <c r="B107" s="25">
        <v>106</v>
      </c>
      <c r="C107" s="24" t="s">
        <v>24</v>
      </c>
      <c r="D107" s="24" t="s">
        <v>24</v>
      </c>
      <c r="E107" s="26">
        <v>5.0000000000000003E-10</v>
      </c>
      <c r="F107" s="25">
        <v>0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3" thickBot="1" x14ac:dyDescent="0.3">
      <c r="A108" s="25">
        <v>4</v>
      </c>
      <c r="B108" s="25">
        <v>107</v>
      </c>
      <c r="C108" s="24" t="s">
        <v>24</v>
      </c>
      <c r="D108" s="24" t="s">
        <v>26</v>
      </c>
      <c r="E108" s="26">
        <v>5.0000000000000003E-10</v>
      </c>
      <c r="F108" s="25">
        <v>0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3" thickBot="1" x14ac:dyDescent="0.3">
      <c r="A109" s="25">
        <v>4</v>
      </c>
      <c r="B109" s="25">
        <v>108</v>
      </c>
      <c r="C109" s="24" t="s">
        <v>24</v>
      </c>
      <c r="D109" s="24" t="s">
        <v>28</v>
      </c>
      <c r="E109" s="26">
        <v>5.0000000000000003E-10</v>
      </c>
      <c r="F109" s="25">
        <v>0</v>
      </c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3" thickBot="1" x14ac:dyDescent="0.3">
      <c r="A110" s="25">
        <v>4</v>
      </c>
      <c r="B110" s="25">
        <v>109</v>
      </c>
      <c r="C110" s="24" t="s">
        <v>24</v>
      </c>
      <c r="D110" s="24" t="s">
        <v>30</v>
      </c>
      <c r="E110" s="26">
        <v>5.0000000000000003E-10</v>
      </c>
      <c r="F110" s="25">
        <v>0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3" thickBot="1" x14ac:dyDescent="0.3">
      <c r="A111" s="25">
        <v>4</v>
      </c>
      <c r="B111" s="25">
        <v>110</v>
      </c>
      <c r="C111" s="24" t="s">
        <v>24</v>
      </c>
      <c r="D111" s="24" t="s">
        <v>31</v>
      </c>
      <c r="E111" s="26">
        <v>5.0000000000000003E-10</v>
      </c>
      <c r="F111" s="25">
        <v>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3" thickBot="1" x14ac:dyDescent="0.3">
      <c r="A112" s="25">
        <v>4</v>
      </c>
      <c r="B112" s="25">
        <v>111</v>
      </c>
      <c r="C112" s="24" t="s">
        <v>26</v>
      </c>
      <c r="D112" s="24" t="s">
        <v>16</v>
      </c>
      <c r="E112" s="26">
        <v>5.0000000000000003E-10</v>
      </c>
      <c r="F112" s="25">
        <v>0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3" thickBot="1" x14ac:dyDescent="0.3">
      <c r="A113" s="25">
        <v>4</v>
      </c>
      <c r="B113" s="25">
        <v>112</v>
      </c>
      <c r="C113" s="24" t="s">
        <v>26</v>
      </c>
      <c r="D113" s="24" t="s">
        <v>18</v>
      </c>
      <c r="E113" s="26">
        <v>5.0000000000000003E-10</v>
      </c>
      <c r="F113" s="25">
        <v>0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3" thickBot="1" x14ac:dyDescent="0.3">
      <c r="A114" s="25">
        <v>4</v>
      </c>
      <c r="B114" s="25">
        <v>113</v>
      </c>
      <c r="C114" s="24" t="s">
        <v>26</v>
      </c>
      <c r="D114" s="24" t="s">
        <v>20</v>
      </c>
      <c r="E114" s="26">
        <v>5.0000000000000003E-10</v>
      </c>
      <c r="F114" s="25">
        <v>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3" thickBot="1" x14ac:dyDescent="0.3">
      <c r="A115" s="25">
        <v>4</v>
      </c>
      <c r="B115" s="25">
        <v>114</v>
      </c>
      <c r="C115" s="24" t="s">
        <v>26</v>
      </c>
      <c r="D115" s="24" t="s">
        <v>22</v>
      </c>
      <c r="E115" s="26">
        <v>5.0000000000000003E-10</v>
      </c>
      <c r="F115" s="25">
        <v>0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3" thickBot="1" x14ac:dyDescent="0.3">
      <c r="A116" s="25">
        <v>4</v>
      </c>
      <c r="B116" s="25">
        <v>115</v>
      </c>
      <c r="C116" s="24" t="s">
        <v>26</v>
      </c>
      <c r="D116" s="24" t="s">
        <v>23</v>
      </c>
      <c r="E116" s="26">
        <v>5.0000000000000003E-10</v>
      </c>
      <c r="F116" s="25">
        <v>0</v>
      </c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3" thickBot="1" x14ac:dyDescent="0.3">
      <c r="A117" s="25">
        <v>4</v>
      </c>
      <c r="B117" s="25">
        <v>116</v>
      </c>
      <c r="C117" s="24" t="s">
        <v>26</v>
      </c>
      <c r="D117" s="24" t="s">
        <v>24</v>
      </c>
      <c r="E117" s="26">
        <v>5.0000000000000003E-10</v>
      </c>
      <c r="F117" s="25">
        <v>0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3" thickBot="1" x14ac:dyDescent="0.3">
      <c r="A118" s="25">
        <v>4</v>
      </c>
      <c r="B118" s="25">
        <v>117</v>
      </c>
      <c r="C118" s="24" t="s">
        <v>26</v>
      </c>
      <c r="D118" s="24" t="s">
        <v>26</v>
      </c>
      <c r="E118" s="26">
        <v>5.0000000000000003E-10</v>
      </c>
      <c r="F118" s="25">
        <v>0</v>
      </c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" thickBot="1" x14ac:dyDescent="0.3">
      <c r="A119" s="25">
        <v>4</v>
      </c>
      <c r="B119" s="25">
        <v>118</v>
      </c>
      <c r="C119" s="24" t="s">
        <v>26</v>
      </c>
      <c r="D119" s="24" t="s">
        <v>28</v>
      </c>
      <c r="E119" s="26">
        <v>5.0000000000000003E-10</v>
      </c>
      <c r="F119" s="25">
        <v>0</v>
      </c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" thickBot="1" x14ac:dyDescent="0.3">
      <c r="A120" s="25">
        <v>4</v>
      </c>
      <c r="B120" s="25">
        <v>119</v>
      </c>
      <c r="C120" s="24" t="s">
        <v>26</v>
      </c>
      <c r="D120" s="24" t="s">
        <v>30</v>
      </c>
      <c r="E120" s="26">
        <v>5.0000000000000003E-10</v>
      </c>
      <c r="F120" s="25">
        <v>0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3" thickBot="1" x14ac:dyDescent="0.3">
      <c r="A121" s="25">
        <v>4</v>
      </c>
      <c r="B121" s="25">
        <v>120</v>
      </c>
      <c r="C121" s="24" t="s">
        <v>26</v>
      </c>
      <c r="D121" s="24" t="s">
        <v>31</v>
      </c>
      <c r="E121" s="26">
        <v>5.0000000000000003E-10</v>
      </c>
      <c r="F121" s="25">
        <v>0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" thickBot="1" x14ac:dyDescent="0.3">
      <c r="A122" s="25">
        <v>4</v>
      </c>
      <c r="B122" s="25">
        <v>121</v>
      </c>
      <c r="C122" s="24" t="s">
        <v>28</v>
      </c>
      <c r="D122" s="24" t="s">
        <v>16</v>
      </c>
      <c r="E122" s="26">
        <v>5.0000000000000003E-10</v>
      </c>
      <c r="F122" s="25">
        <v>0</v>
      </c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" thickBot="1" x14ac:dyDescent="0.3">
      <c r="A123" s="25">
        <v>4</v>
      </c>
      <c r="B123" s="25">
        <v>122</v>
      </c>
      <c r="C123" s="24" t="s">
        <v>28</v>
      </c>
      <c r="D123" s="24" t="s">
        <v>18</v>
      </c>
      <c r="E123" s="26">
        <v>5.0000000000000003E-10</v>
      </c>
      <c r="F123" s="25">
        <v>0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" thickBot="1" x14ac:dyDescent="0.3">
      <c r="A124" s="25">
        <v>4</v>
      </c>
      <c r="B124" s="25">
        <v>123</v>
      </c>
      <c r="C124" s="24" t="s">
        <v>28</v>
      </c>
      <c r="D124" s="24" t="s">
        <v>20</v>
      </c>
      <c r="E124" s="26">
        <v>5.0000000000000003E-10</v>
      </c>
      <c r="F124" s="25">
        <v>0</v>
      </c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" thickBot="1" x14ac:dyDescent="0.3">
      <c r="A125" s="25">
        <v>4</v>
      </c>
      <c r="B125" s="25">
        <v>124</v>
      </c>
      <c r="C125" s="24" t="s">
        <v>28</v>
      </c>
      <c r="D125" s="24" t="s">
        <v>22</v>
      </c>
      <c r="E125" s="26">
        <v>5.0000000000000003E-10</v>
      </c>
      <c r="F125" s="25">
        <v>0</v>
      </c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" thickBot="1" x14ac:dyDescent="0.3">
      <c r="A126" s="25">
        <v>4</v>
      </c>
      <c r="B126" s="25">
        <v>125</v>
      </c>
      <c r="C126" s="24" t="s">
        <v>28</v>
      </c>
      <c r="D126" s="24" t="s">
        <v>23</v>
      </c>
      <c r="E126" s="26">
        <v>5.0000000000000003E-10</v>
      </c>
      <c r="F126" s="25">
        <v>0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" thickBot="1" x14ac:dyDescent="0.3">
      <c r="A127" s="25">
        <v>4</v>
      </c>
      <c r="B127" s="25">
        <v>126</v>
      </c>
      <c r="C127" s="24" t="s">
        <v>28</v>
      </c>
      <c r="D127" s="24" t="s">
        <v>24</v>
      </c>
      <c r="E127" s="26">
        <v>5.0000000000000003E-10</v>
      </c>
      <c r="F127" s="25">
        <v>0</v>
      </c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" thickBot="1" x14ac:dyDescent="0.3">
      <c r="A128" s="25">
        <v>4</v>
      </c>
      <c r="B128" s="25">
        <v>127</v>
      </c>
      <c r="C128" s="24" t="s">
        <v>28</v>
      </c>
      <c r="D128" s="24" t="s">
        <v>26</v>
      </c>
      <c r="E128" s="26">
        <v>5.0000000000000003E-10</v>
      </c>
      <c r="F128" s="25">
        <v>0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" thickBot="1" x14ac:dyDescent="0.3">
      <c r="A129" s="25">
        <v>4</v>
      </c>
      <c r="B129" s="25">
        <v>128</v>
      </c>
      <c r="C129" s="24" t="s">
        <v>28</v>
      </c>
      <c r="D129" s="24" t="s">
        <v>28</v>
      </c>
      <c r="E129" s="26">
        <v>5.0000000000000003E-10</v>
      </c>
      <c r="F129" s="25">
        <v>0</v>
      </c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" thickBot="1" x14ac:dyDescent="0.3">
      <c r="A130" s="25">
        <v>4</v>
      </c>
      <c r="B130" s="25">
        <v>129</v>
      </c>
      <c r="C130" s="24" t="s">
        <v>28</v>
      </c>
      <c r="D130" s="24" t="s">
        <v>30</v>
      </c>
      <c r="E130" s="26">
        <v>5.0000000000000003E-10</v>
      </c>
      <c r="F130" s="25">
        <v>0</v>
      </c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" thickBot="1" x14ac:dyDescent="0.3">
      <c r="A131" s="25">
        <v>4</v>
      </c>
      <c r="B131" s="25">
        <v>130</v>
      </c>
      <c r="C131" s="24" t="s">
        <v>28</v>
      </c>
      <c r="D131" s="24" t="s">
        <v>31</v>
      </c>
      <c r="E131" s="26">
        <v>5.0000000000000003E-10</v>
      </c>
      <c r="F131" s="25">
        <v>0</v>
      </c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" thickBot="1" x14ac:dyDescent="0.3">
      <c r="A132" s="25">
        <v>4</v>
      </c>
      <c r="B132" s="25">
        <v>131</v>
      </c>
      <c r="C132" s="24" t="s">
        <v>30</v>
      </c>
      <c r="D132" s="24" t="s">
        <v>16</v>
      </c>
      <c r="E132" s="26">
        <v>5.0000000000000003E-10</v>
      </c>
      <c r="F132" s="25">
        <v>0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" thickBot="1" x14ac:dyDescent="0.3">
      <c r="A133" s="25">
        <v>4</v>
      </c>
      <c r="B133" s="25">
        <v>132</v>
      </c>
      <c r="C133" s="24" t="s">
        <v>30</v>
      </c>
      <c r="D133" s="24" t="s">
        <v>18</v>
      </c>
      <c r="E133" s="26">
        <v>5.0000000000000003E-10</v>
      </c>
      <c r="F133" s="25">
        <v>0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" thickBot="1" x14ac:dyDescent="0.3">
      <c r="A134" s="25">
        <v>4</v>
      </c>
      <c r="B134" s="25">
        <v>133</v>
      </c>
      <c r="C134" s="24" t="s">
        <v>30</v>
      </c>
      <c r="D134" s="24" t="s">
        <v>20</v>
      </c>
      <c r="E134" s="26">
        <v>5.0000000000000003E-10</v>
      </c>
      <c r="F134" s="25">
        <v>0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" thickBot="1" x14ac:dyDescent="0.3">
      <c r="A135" s="25">
        <v>4</v>
      </c>
      <c r="B135" s="25">
        <v>134</v>
      </c>
      <c r="C135" s="24" t="s">
        <v>30</v>
      </c>
      <c r="D135" s="24" t="s">
        <v>22</v>
      </c>
      <c r="E135" s="26">
        <v>5.0000000000000003E-10</v>
      </c>
      <c r="F135" s="25">
        <v>0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" thickBot="1" x14ac:dyDescent="0.3">
      <c r="A136" s="25">
        <v>4</v>
      </c>
      <c r="B136" s="25">
        <v>135</v>
      </c>
      <c r="C136" s="24" t="s">
        <v>30</v>
      </c>
      <c r="D136" s="24" t="s">
        <v>23</v>
      </c>
      <c r="E136" s="26">
        <v>5.0000000000000003E-10</v>
      </c>
      <c r="F136" s="25">
        <v>0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" thickBot="1" x14ac:dyDescent="0.3">
      <c r="A137" s="25">
        <v>4</v>
      </c>
      <c r="B137" s="25">
        <v>136</v>
      </c>
      <c r="C137" s="24" t="s">
        <v>30</v>
      </c>
      <c r="D137" s="24" t="s">
        <v>24</v>
      </c>
      <c r="E137" s="26">
        <v>5.0000000000000003E-10</v>
      </c>
      <c r="F137" s="25">
        <v>0</v>
      </c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" thickBot="1" x14ac:dyDescent="0.3">
      <c r="A138" s="25">
        <v>4</v>
      </c>
      <c r="B138" s="25">
        <v>137</v>
      </c>
      <c r="C138" s="24" t="s">
        <v>30</v>
      </c>
      <c r="D138" s="24" t="s">
        <v>26</v>
      </c>
      <c r="E138" s="26">
        <v>5.0000000000000003E-10</v>
      </c>
      <c r="F138" s="25">
        <v>0</v>
      </c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" thickBot="1" x14ac:dyDescent="0.3">
      <c r="A139" s="25">
        <v>4</v>
      </c>
      <c r="B139" s="25">
        <v>138</v>
      </c>
      <c r="C139" s="24" t="s">
        <v>30</v>
      </c>
      <c r="D139" s="24" t="s">
        <v>28</v>
      </c>
      <c r="E139" s="26">
        <v>5.0000000000000003E-10</v>
      </c>
      <c r="F139" s="25">
        <v>0</v>
      </c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" thickBot="1" x14ac:dyDescent="0.3">
      <c r="A140" s="25">
        <v>4</v>
      </c>
      <c r="B140" s="25">
        <v>139</v>
      </c>
      <c r="C140" s="24" t="s">
        <v>30</v>
      </c>
      <c r="D140" s="24" t="s">
        <v>30</v>
      </c>
      <c r="E140" s="26">
        <v>5.0000000000000003E-10</v>
      </c>
      <c r="F140" s="25">
        <v>0</v>
      </c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" thickBot="1" x14ac:dyDescent="0.3">
      <c r="A141" s="25">
        <v>4</v>
      </c>
      <c r="B141" s="25">
        <v>140</v>
      </c>
      <c r="C141" s="24" t="s">
        <v>30</v>
      </c>
      <c r="D141" s="24" t="s">
        <v>31</v>
      </c>
      <c r="E141" s="26">
        <v>5.0000000000000003E-10</v>
      </c>
      <c r="F141" s="25">
        <v>0</v>
      </c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" thickBot="1" x14ac:dyDescent="0.3">
      <c r="A142" s="25">
        <v>4</v>
      </c>
      <c r="B142" s="25">
        <v>141</v>
      </c>
      <c r="C142" s="24" t="s">
        <v>31</v>
      </c>
      <c r="D142" s="24" t="s">
        <v>16</v>
      </c>
      <c r="E142" s="26">
        <v>5.0000000000000003E-10</v>
      </c>
      <c r="F142" s="25">
        <v>0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" thickBot="1" x14ac:dyDescent="0.3">
      <c r="A143" s="25">
        <v>4</v>
      </c>
      <c r="B143" s="25">
        <v>142</v>
      </c>
      <c r="C143" s="24" t="s">
        <v>31</v>
      </c>
      <c r="D143" s="24" t="s">
        <v>18</v>
      </c>
      <c r="E143" s="26">
        <v>5.0000000000000003E-10</v>
      </c>
      <c r="F143" s="25">
        <v>0</v>
      </c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" thickBot="1" x14ac:dyDescent="0.3">
      <c r="A144" s="25">
        <v>4</v>
      </c>
      <c r="B144" s="25">
        <v>143</v>
      </c>
      <c r="C144" s="24" t="s">
        <v>31</v>
      </c>
      <c r="D144" s="24" t="s">
        <v>20</v>
      </c>
      <c r="E144" s="26">
        <v>5.0000000000000003E-10</v>
      </c>
      <c r="F144" s="25">
        <v>0</v>
      </c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" thickBot="1" x14ac:dyDescent="0.3">
      <c r="A145" s="25">
        <v>4</v>
      </c>
      <c r="B145" s="25">
        <v>144</v>
      </c>
      <c r="C145" s="24" t="s">
        <v>31</v>
      </c>
      <c r="D145" s="24" t="s">
        <v>22</v>
      </c>
      <c r="E145" s="26">
        <v>5.0000000000000003E-10</v>
      </c>
      <c r="F145" s="25">
        <v>0</v>
      </c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" thickBot="1" x14ac:dyDescent="0.3">
      <c r="A146" s="25">
        <v>4</v>
      </c>
      <c r="B146" s="25">
        <v>145</v>
      </c>
      <c r="C146" s="24" t="s">
        <v>31</v>
      </c>
      <c r="D146" s="24" t="s">
        <v>23</v>
      </c>
      <c r="E146" s="26">
        <v>5.0000000000000003E-10</v>
      </c>
      <c r="F146" s="25">
        <v>0</v>
      </c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" thickBot="1" x14ac:dyDescent="0.3">
      <c r="A147" s="25">
        <v>4</v>
      </c>
      <c r="B147" s="25">
        <v>146</v>
      </c>
      <c r="C147" s="24" t="s">
        <v>31</v>
      </c>
      <c r="D147" s="24" t="s">
        <v>24</v>
      </c>
      <c r="E147" s="26">
        <v>5.0000000000000003E-10</v>
      </c>
      <c r="F147" s="25">
        <v>0</v>
      </c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" thickBot="1" x14ac:dyDescent="0.3">
      <c r="A148" s="25">
        <v>4</v>
      </c>
      <c r="B148" s="25">
        <v>147</v>
      </c>
      <c r="C148" s="24" t="s">
        <v>31</v>
      </c>
      <c r="D148" s="24" t="s">
        <v>26</v>
      </c>
      <c r="E148" s="26">
        <v>5.0000000000000003E-10</v>
      </c>
      <c r="F148" s="25">
        <v>0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" thickBot="1" x14ac:dyDescent="0.3">
      <c r="A149" s="25">
        <v>4</v>
      </c>
      <c r="B149" s="25">
        <v>148</v>
      </c>
      <c r="C149" s="24" t="s">
        <v>31</v>
      </c>
      <c r="D149" s="24" t="s">
        <v>28</v>
      </c>
      <c r="E149" s="26">
        <v>5.0000000000000003E-10</v>
      </c>
      <c r="F149" s="25">
        <v>0</v>
      </c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" thickBot="1" x14ac:dyDescent="0.3">
      <c r="A150" s="25">
        <v>4</v>
      </c>
      <c r="B150" s="25">
        <v>149</v>
      </c>
      <c r="C150" s="24" t="s">
        <v>31</v>
      </c>
      <c r="D150" s="24" t="s">
        <v>30</v>
      </c>
      <c r="E150" s="26">
        <v>5.0000000000000003E-10</v>
      </c>
      <c r="F150" s="25">
        <v>0</v>
      </c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" thickBot="1" x14ac:dyDescent="0.3">
      <c r="A151" s="25">
        <v>4</v>
      </c>
      <c r="B151" s="25">
        <v>150</v>
      </c>
      <c r="C151" s="24" t="s">
        <v>31</v>
      </c>
      <c r="D151" s="24" t="s">
        <v>31</v>
      </c>
      <c r="E151" s="26">
        <v>5.0000000000000003E-10</v>
      </c>
      <c r="F151" s="25">
        <v>0</v>
      </c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" thickBot="1" x14ac:dyDescent="0.3">
      <c r="A152" s="25">
        <v>5</v>
      </c>
      <c r="B152" s="25">
        <v>1</v>
      </c>
      <c r="C152" s="24" t="s">
        <v>8</v>
      </c>
      <c r="D152" s="24" t="s">
        <v>6</v>
      </c>
      <c r="E152" s="26">
        <v>2.09E-15</v>
      </c>
      <c r="F152" s="25">
        <v>0</v>
      </c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" thickBot="1" x14ac:dyDescent="0.3">
      <c r="A153" s="25">
        <v>5</v>
      </c>
      <c r="B153" s="25">
        <v>2</v>
      </c>
      <c r="C153" s="24" t="s">
        <v>10</v>
      </c>
      <c r="D153" s="24" t="s">
        <v>6</v>
      </c>
      <c r="E153" s="26">
        <v>2.09E-15</v>
      </c>
      <c r="F153" s="25">
        <v>0</v>
      </c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" thickBot="1" x14ac:dyDescent="0.3">
      <c r="A154" s="25">
        <v>5</v>
      </c>
      <c r="B154" s="25">
        <v>3</v>
      </c>
      <c r="C154" s="24" t="s">
        <v>12</v>
      </c>
      <c r="D154" s="24" t="s">
        <v>6</v>
      </c>
      <c r="E154" s="26">
        <v>5.3000000000000001E-15</v>
      </c>
      <c r="F154" s="25">
        <v>0</v>
      </c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" thickBot="1" x14ac:dyDescent="0.3">
      <c r="A155" s="25">
        <v>5</v>
      </c>
      <c r="B155" s="25">
        <v>4</v>
      </c>
      <c r="C155" s="24" t="s">
        <v>14</v>
      </c>
      <c r="D155" s="24" t="s">
        <v>6</v>
      </c>
      <c r="E155" s="26">
        <v>5.3000000000000001E-15</v>
      </c>
      <c r="F155" s="25">
        <v>0</v>
      </c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" thickBot="1" x14ac:dyDescent="0.3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" thickBot="1" x14ac:dyDescent="0.3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" thickBot="1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" thickBot="1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" thickBot="1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" thickBot="1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" thickBot="1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" thickBot="1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" thickBot="1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" thickBot="1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" thickBot="1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" thickBot="1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" thickBot="1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" thickBot="1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" thickBot="1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" thickBot="1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" thickBot="1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" thickBot="1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" thickBot="1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" thickBot="1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" thickBot="1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" thickBot="1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" thickBot="1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" thickBot="1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" thickBot="1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" thickBo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" thickBo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" thickBot="1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" thickBo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" thickBot="1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" thickBot="1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" thickBot="1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" thickBot="1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" thickBot="1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" thickBot="1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" thickBot="1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" thickBot="1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" thickBot="1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" thickBot="1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" thickBot="1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" thickBot="1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" thickBot="1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" thickBot="1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" thickBot="1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" thickBot="1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" thickBot="1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" thickBot="1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" thickBot="1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" thickBot="1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" thickBot="1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" thickBot="1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" thickBot="1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" thickBot="1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" thickBot="1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" thickBot="1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" thickBot="1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" thickBot="1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" thickBot="1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" thickBot="1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" thickBot="1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" thickBot="1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" thickBot="1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" thickBot="1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" thickBot="1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" thickBot="1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" thickBot="1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" thickBot="1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" thickBot="1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" thickBot="1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" thickBo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" thickBot="1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" thickBot="1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" thickBot="1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" thickBot="1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" thickBot="1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" thickBot="1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" thickBot="1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" thickBot="1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" thickBot="1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" thickBot="1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" thickBot="1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" thickBot="1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" thickBot="1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" thickBot="1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" thickBot="1" x14ac:dyDescent="0.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" thickBot="1" x14ac:dyDescent="0.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" thickBot="1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" thickBot="1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" thickBot="1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" thickBot="1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" thickBot="1" x14ac:dyDescent="0.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" thickBot="1" x14ac:dyDescent="0.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" thickBot="1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" thickBot="1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" thickBot="1" x14ac:dyDescent="0.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" thickBot="1" x14ac:dyDescent="0.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" thickBot="1" x14ac:dyDescent="0.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" thickBot="1" x14ac:dyDescent="0.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" thickBot="1" x14ac:dyDescent="0.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" thickBot="1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" thickBot="1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" thickBot="1" x14ac:dyDescent="0.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" thickBot="1" x14ac:dyDescent="0.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" thickBot="1" x14ac:dyDescent="0.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" thickBot="1" x14ac:dyDescent="0.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" thickBot="1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" thickBot="1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" thickBot="1" x14ac:dyDescent="0.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" thickBot="1" x14ac:dyDescent="0.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" thickBot="1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" thickBot="1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" thickBot="1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" thickBot="1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" thickBot="1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" thickBot="1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" thickBot="1" x14ac:dyDescent="0.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" thickBot="1" x14ac:dyDescent="0.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" thickBot="1" x14ac:dyDescent="0.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" thickBot="1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" thickBot="1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" thickBot="1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" thickBot="1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" thickBot="1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" thickBot="1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" thickBot="1" x14ac:dyDescent="0.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" thickBot="1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" thickBot="1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" thickBot="1" x14ac:dyDescent="0.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" thickBot="1" x14ac:dyDescent="0.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" thickBot="1" x14ac:dyDescent="0.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" thickBot="1" x14ac:dyDescent="0.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" thickBot="1" x14ac:dyDescent="0.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" thickBot="1" x14ac:dyDescent="0.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" thickBot="1" x14ac:dyDescent="0.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" thickBot="1" x14ac:dyDescent="0.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" thickBot="1" x14ac:dyDescent="0.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" thickBot="1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" thickBot="1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" thickBot="1" x14ac:dyDescent="0.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" thickBot="1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" thickBot="1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" thickBot="1" x14ac:dyDescent="0.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" thickBot="1" x14ac:dyDescent="0.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" thickBot="1" x14ac:dyDescent="0.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" thickBot="1" x14ac:dyDescent="0.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" thickBot="1" x14ac:dyDescent="0.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" thickBot="1" x14ac:dyDescent="0.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" thickBot="1" x14ac:dyDescent="0.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" thickBot="1" x14ac:dyDescent="0.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" thickBot="1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" thickBot="1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" thickBot="1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" thickBot="1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" thickBot="1" x14ac:dyDescent="0.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" thickBot="1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" thickBot="1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" thickBot="1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" thickBot="1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" thickBot="1" x14ac:dyDescent="0.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" thickBot="1" x14ac:dyDescent="0.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" thickBot="1" x14ac:dyDescent="0.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" thickBot="1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" thickBot="1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" thickBot="1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" thickBot="1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" thickBot="1" x14ac:dyDescent="0.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" thickBot="1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" thickBot="1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" thickBot="1" x14ac:dyDescent="0.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" thickBot="1" x14ac:dyDescent="0.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" thickBot="1" x14ac:dyDescent="0.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" thickBot="1" x14ac:dyDescent="0.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" thickBot="1" x14ac:dyDescent="0.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" thickBot="1" x14ac:dyDescent="0.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" thickBot="1" x14ac:dyDescent="0.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" thickBot="1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" thickBot="1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" thickBot="1" x14ac:dyDescent="0.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" thickBot="1" x14ac:dyDescent="0.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" thickBot="1" x14ac:dyDescent="0.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" thickBot="1" x14ac:dyDescent="0.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" thickBot="1" x14ac:dyDescent="0.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" thickBot="1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" thickBot="1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" thickBot="1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" thickBot="1" x14ac:dyDescent="0.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" thickBot="1" x14ac:dyDescent="0.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" thickBot="1" x14ac:dyDescent="0.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" thickBot="1" x14ac:dyDescent="0.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" thickBot="1" x14ac:dyDescent="0.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" thickBot="1" x14ac:dyDescent="0.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" thickBot="1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" thickBot="1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" thickBot="1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" thickBot="1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" thickBot="1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" thickBot="1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" thickBot="1" x14ac:dyDescent="0.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" thickBot="1" x14ac:dyDescent="0.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" thickBot="1" x14ac:dyDescent="0.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" thickBot="1" x14ac:dyDescent="0.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" thickBot="1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" thickBot="1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" thickBot="1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" thickBot="1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" thickBot="1" x14ac:dyDescent="0.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" thickBot="1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" thickBot="1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" thickBot="1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" thickBot="1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" thickBot="1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" thickBot="1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" thickBot="1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" thickBot="1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" thickBot="1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" thickBot="1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" thickBot="1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" thickBot="1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" thickBot="1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" thickBot="1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" thickBot="1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" thickBot="1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3" thickBot="1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3" thickBot="1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3" thickBot="1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3" thickBot="1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3" thickBot="1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3" thickBot="1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3" thickBot="1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3" thickBot="1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3" thickBot="1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3" thickBot="1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3" thickBot="1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3" thickBot="1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3" thickBot="1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3" thickBot="1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3" thickBot="1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3" thickBot="1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3" thickBot="1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3" thickBot="1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3" thickBot="1" x14ac:dyDescent="0.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3" thickBot="1" x14ac:dyDescent="0.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3" thickBot="1" x14ac:dyDescent="0.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3" thickBot="1" x14ac:dyDescent="0.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3" thickBot="1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3" thickBot="1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3" thickBot="1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3" thickBot="1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3" thickBot="1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3" thickBot="1" x14ac:dyDescent="0.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3" thickBot="1" x14ac:dyDescent="0.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3" thickBot="1" x14ac:dyDescent="0.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3" thickBot="1" x14ac:dyDescent="0.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3" thickBot="1" x14ac:dyDescent="0.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3" thickBot="1" x14ac:dyDescent="0.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3" thickBot="1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3" thickBot="1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3" thickBot="1" x14ac:dyDescent="0.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3" thickBot="1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3" thickBot="1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3" thickBot="1" x14ac:dyDescent="0.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3" thickBot="1" x14ac:dyDescent="0.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3" thickBot="1" x14ac:dyDescent="0.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3" thickBot="1" x14ac:dyDescent="0.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3" thickBot="1" x14ac:dyDescent="0.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3" thickBot="1" x14ac:dyDescent="0.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3" thickBot="1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3" thickBot="1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3" thickBot="1" x14ac:dyDescent="0.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3" thickBot="1" x14ac:dyDescent="0.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3" thickBot="1" x14ac:dyDescent="0.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3" thickBot="1" x14ac:dyDescent="0.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3" thickBot="1" x14ac:dyDescent="0.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3" thickBot="1" x14ac:dyDescent="0.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3" thickBot="1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3" thickBot="1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3" thickBot="1" x14ac:dyDescent="0.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3" thickBot="1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3" thickBot="1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3" thickBot="1" x14ac:dyDescent="0.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3" thickBot="1" x14ac:dyDescent="0.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3" thickBot="1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3" thickBot="1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3" thickBot="1" x14ac:dyDescent="0.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3" thickBot="1" x14ac:dyDescent="0.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3" thickBot="1" x14ac:dyDescent="0.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3" thickBot="1" x14ac:dyDescent="0.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3" thickBot="1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3" thickBot="1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3" thickBot="1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3" thickBot="1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3" thickBot="1" x14ac:dyDescent="0.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3" thickBot="1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3" thickBot="1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3" thickBot="1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3" thickBot="1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3" thickBot="1" x14ac:dyDescent="0.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3" thickBot="1" x14ac:dyDescent="0.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3" thickBot="1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3" thickBot="1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3" thickBot="1" x14ac:dyDescent="0.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3" thickBot="1" x14ac:dyDescent="0.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3" thickBot="1" x14ac:dyDescent="0.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3" thickBot="1" x14ac:dyDescent="0.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3" thickBot="1" x14ac:dyDescent="0.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3" thickBot="1" x14ac:dyDescent="0.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3" thickBot="1" x14ac:dyDescent="0.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3" thickBot="1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3" thickBot="1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3" thickBot="1" x14ac:dyDescent="0.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3" thickBot="1" x14ac:dyDescent="0.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3" thickBot="1" x14ac:dyDescent="0.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3" thickBot="1" x14ac:dyDescent="0.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3" thickBot="1" x14ac:dyDescent="0.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3" thickBot="1" x14ac:dyDescent="0.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3" thickBot="1" x14ac:dyDescent="0.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3" thickBot="1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3" thickBot="1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3" thickBot="1" x14ac:dyDescent="0.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3" thickBot="1" x14ac:dyDescent="0.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3" thickBot="1" x14ac:dyDescent="0.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3" thickBot="1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3" thickBot="1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3" thickBot="1" x14ac:dyDescent="0.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3" thickBot="1" x14ac:dyDescent="0.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3" thickBot="1" x14ac:dyDescent="0.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3" thickBot="1" x14ac:dyDescent="0.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3" thickBot="1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3" thickBot="1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3" thickBot="1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3" thickBot="1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3" thickBot="1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3" thickBot="1" x14ac:dyDescent="0.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3" thickBot="1" x14ac:dyDescent="0.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3" thickBot="1" x14ac:dyDescent="0.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3" thickBot="1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3" thickBot="1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3" thickBot="1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3" thickBot="1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3" thickBot="1" x14ac:dyDescent="0.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3" thickBot="1" x14ac:dyDescent="0.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3" thickBot="1" x14ac:dyDescent="0.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3" thickBot="1" x14ac:dyDescent="0.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3" thickBot="1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3" thickBot="1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3" thickBot="1" x14ac:dyDescent="0.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3" thickBot="1" x14ac:dyDescent="0.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3" thickBot="1" x14ac:dyDescent="0.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3" thickBot="1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3" thickBot="1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3" thickBot="1" x14ac:dyDescent="0.3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3" thickBot="1" x14ac:dyDescent="0.3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3" thickBot="1" x14ac:dyDescent="0.3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3" thickBot="1" x14ac:dyDescent="0.3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3" thickBot="1" x14ac:dyDescent="0.3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3" thickBot="1" x14ac:dyDescent="0.3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3" thickBot="1" x14ac:dyDescent="0.3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3" thickBot="1" x14ac:dyDescent="0.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3" thickBot="1" x14ac:dyDescent="0.3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3" thickBot="1" x14ac:dyDescent="0.3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3" thickBot="1" x14ac:dyDescent="0.3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3" thickBot="1" x14ac:dyDescent="0.3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3" thickBot="1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3" thickBot="1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3" thickBot="1" x14ac:dyDescent="0.3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3" thickBot="1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3" thickBot="1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3" thickBot="1" x14ac:dyDescent="0.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3" thickBot="1" x14ac:dyDescent="0.3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3" thickBot="1" x14ac:dyDescent="0.3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3" thickBot="1" x14ac:dyDescent="0.3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3" thickBot="1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3" thickBot="1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3" thickBot="1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3" thickBot="1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3" thickBot="1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3" thickBot="1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3" thickBot="1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3" thickBot="1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3" thickBot="1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3" thickBot="1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3" thickBot="1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3" thickBot="1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3" thickBot="1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3" thickBot="1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3" thickBot="1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3" thickBot="1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3" thickBot="1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3" thickBot="1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3" thickBot="1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3" thickBot="1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3" thickBot="1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3" thickBot="1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3" thickBot="1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3" thickBot="1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3" thickBot="1" x14ac:dyDescent="0.3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3" thickBot="1" x14ac:dyDescent="0.3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3" thickBot="1" x14ac:dyDescent="0.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3" thickBot="1" x14ac:dyDescent="0.3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3" thickBot="1" x14ac:dyDescent="0.3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3" thickBot="1" x14ac:dyDescent="0.3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3" thickBot="1" x14ac:dyDescent="0.3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3" thickBot="1" x14ac:dyDescent="0.3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3" thickBot="1" x14ac:dyDescent="0.3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3" thickBot="1" x14ac:dyDescent="0.3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3" thickBot="1" x14ac:dyDescent="0.3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3" thickBot="1" x14ac:dyDescent="0.3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3" thickBot="1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3" thickBot="1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3" thickBot="1" x14ac:dyDescent="0.3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3" thickBot="1" x14ac:dyDescent="0.3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3" thickBot="1" x14ac:dyDescent="0.3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3" thickBot="1" x14ac:dyDescent="0.3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3" thickBot="1" x14ac:dyDescent="0.3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3" thickBot="1" x14ac:dyDescent="0.3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3" thickBot="1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3" thickBot="1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3" thickBot="1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3" thickBot="1" x14ac:dyDescent="0.3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3" thickBot="1" x14ac:dyDescent="0.3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3" thickBot="1" x14ac:dyDescent="0.3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3" thickBot="1" x14ac:dyDescent="0.3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3" thickBot="1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3" thickBot="1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3" thickBot="1" x14ac:dyDescent="0.3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3" thickBot="1" x14ac:dyDescent="0.3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3" thickBot="1" x14ac:dyDescent="0.3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3" thickBot="1" x14ac:dyDescent="0.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3" thickBot="1" x14ac:dyDescent="0.3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3" thickBot="1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3" thickBot="1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3" thickBot="1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3" thickBot="1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3" thickBot="1" x14ac:dyDescent="0.3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3" thickBot="1" x14ac:dyDescent="0.3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3" thickBot="1" x14ac:dyDescent="0.3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3" thickBot="1" x14ac:dyDescent="0.3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3" thickBot="1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3" thickBot="1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3" thickBot="1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3" thickBot="1" x14ac:dyDescent="0.3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3" thickBot="1" x14ac:dyDescent="0.3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3" thickBot="1" x14ac:dyDescent="0.3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3" thickBot="1" x14ac:dyDescent="0.3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3" thickBot="1" x14ac:dyDescent="0.3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3" thickBot="1" x14ac:dyDescent="0.3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3" thickBot="1" x14ac:dyDescent="0.3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3" thickBot="1" x14ac:dyDescent="0.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3" thickBot="1" x14ac:dyDescent="0.3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3" thickBot="1" x14ac:dyDescent="0.3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3" thickBot="1" x14ac:dyDescent="0.3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3" thickBot="1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3" thickBot="1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3" thickBot="1" x14ac:dyDescent="0.3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3" thickBot="1" x14ac:dyDescent="0.3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3" thickBot="1" x14ac:dyDescent="0.3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3" thickBot="1" x14ac:dyDescent="0.3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3" thickBot="1" x14ac:dyDescent="0.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3" thickBot="1" x14ac:dyDescent="0.3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3" thickBot="1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3" thickBot="1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3" thickBot="1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3" thickBot="1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3" thickBot="1" x14ac:dyDescent="0.3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3" thickBot="1" x14ac:dyDescent="0.3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3" thickBot="1" x14ac:dyDescent="0.3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3" thickBot="1" x14ac:dyDescent="0.3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3" thickBot="1" x14ac:dyDescent="0.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3" thickBot="1" x14ac:dyDescent="0.3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3" thickBot="1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3" thickBot="1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3" thickBot="1" x14ac:dyDescent="0.3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3" thickBot="1" x14ac:dyDescent="0.3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3" thickBot="1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3" thickBot="1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3" thickBot="1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3" thickBot="1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3" thickBot="1" x14ac:dyDescent="0.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3" thickBot="1" x14ac:dyDescent="0.3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3" thickBot="1" x14ac:dyDescent="0.3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3" thickBot="1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3" thickBot="1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3" thickBot="1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3" thickBot="1" x14ac:dyDescent="0.3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3" thickBot="1" x14ac:dyDescent="0.3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3" thickBot="1" x14ac:dyDescent="0.3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3" thickBot="1" x14ac:dyDescent="0.3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3" thickBot="1" x14ac:dyDescent="0.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3" thickBot="1" x14ac:dyDescent="0.3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3" thickBot="1" x14ac:dyDescent="0.3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3" thickBot="1" x14ac:dyDescent="0.3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3" thickBot="1" x14ac:dyDescent="0.3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3" thickBot="1" x14ac:dyDescent="0.3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3" thickBot="1" x14ac:dyDescent="0.3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3" thickBot="1" x14ac:dyDescent="0.3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3" thickBot="1" x14ac:dyDescent="0.3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3" thickBot="1" x14ac:dyDescent="0.3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3" thickBot="1" x14ac:dyDescent="0.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3" thickBot="1" x14ac:dyDescent="0.3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3" thickBot="1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3" thickBot="1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3" thickBot="1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3" thickBot="1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3" thickBot="1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3" thickBot="1" x14ac:dyDescent="0.3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3" thickBot="1" x14ac:dyDescent="0.3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3" thickBot="1" x14ac:dyDescent="0.3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3" thickBot="1" x14ac:dyDescent="0.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3" thickBot="1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3" thickBot="1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3" thickBot="1" x14ac:dyDescent="0.3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3" thickBot="1" x14ac:dyDescent="0.3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3" thickBot="1" x14ac:dyDescent="0.3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3" thickBot="1" x14ac:dyDescent="0.3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3" thickBot="1" x14ac:dyDescent="0.3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3" thickBot="1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3" thickBot="1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3" thickBot="1" x14ac:dyDescent="0.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3" thickBot="1" x14ac:dyDescent="0.3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3" thickBot="1" x14ac:dyDescent="0.3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3" thickBot="1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3" thickBot="1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3" thickBot="1" x14ac:dyDescent="0.3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3" thickBot="1" x14ac:dyDescent="0.3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3" thickBot="1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3" thickBot="1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3" thickBot="1" x14ac:dyDescent="0.3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3" thickBot="1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3" thickBot="1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3" thickBot="1" x14ac:dyDescent="0.3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3" thickBot="1" x14ac:dyDescent="0.3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3" thickBot="1" x14ac:dyDescent="0.3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3" thickBot="1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3" thickBot="1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3" thickBot="1" x14ac:dyDescent="0.3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3" thickBot="1" x14ac:dyDescent="0.3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3" thickBot="1" x14ac:dyDescent="0.3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3" thickBot="1" x14ac:dyDescent="0.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3" thickBot="1" x14ac:dyDescent="0.3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3" thickBot="1" x14ac:dyDescent="0.3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3" thickBot="1" x14ac:dyDescent="0.3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3" thickBot="1" x14ac:dyDescent="0.3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3" thickBot="1" x14ac:dyDescent="0.3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3" thickBot="1" x14ac:dyDescent="0.3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3" thickBot="1" x14ac:dyDescent="0.3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3" thickBot="1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3" thickBot="1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3" thickBot="1" x14ac:dyDescent="0.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3" thickBot="1" x14ac:dyDescent="0.3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3" thickBot="1" x14ac:dyDescent="0.3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3" thickBot="1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3" thickBot="1" x14ac:dyDescent="0.3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3" thickBot="1" x14ac:dyDescent="0.3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3" thickBot="1" x14ac:dyDescent="0.3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3" thickBot="1" x14ac:dyDescent="0.3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3" thickBot="1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3" thickBot="1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3" thickBot="1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3" thickBot="1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3" thickBot="1" x14ac:dyDescent="0.3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3" thickBot="1" x14ac:dyDescent="0.3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3" thickBot="1" x14ac:dyDescent="0.3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3" thickBot="1" x14ac:dyDescent="0.3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3" thickBot="1" x14ac:dyDescent="0.3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3" thickBot="1" x14ac:dyDescent="0.3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3" thickBot="1" x14ac:dyDescent="0.3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3" thickBot="1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3" thickBot="1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3" thickBot="1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3" thickBot="1" x14ac:dyDescent="0.3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3" thickBot="1" x14ac:dyDescent="0.3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3" thickBot="1" x14ac:dyDescent="0.3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3" thickBot="1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3" thickBot="1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3" thickBot="1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3" thickBot="1" x14ac:dyDescent="0.3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3" thickBot="1" x14ac:dyDescent="0.3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3" thickBot="1" x14ac:dyDescent="0.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3" thickBot="1" x14ac:dyDescent="0.3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3" thickBot="1" x14ac:dyDescent="0.3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3" thickBot="1" x14ac:dyDescent="0.3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3" thickBot="1" x14ac:dyDescent="0.3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3" thickBot="1" x14ac:dyDescent="0.3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3" thickBot="1" x14ac:dyDescent="0.3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3" thickBot="1" x14ac:dyDescent="0.3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3" thickBot="1" x14ac:dyDescent="0.3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3" thickBot="1" x14ac:dyDescent="0.3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3" thickBot="1" x14ac:dyDescent="0.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3" thickBot="1" x14ac:dyDescent="0.3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3" thickBot="1" x14ac:dyDescent="0.3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3" thickBot="1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3" thickBot="1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3" thickBot="1" x14ac:dyDescent="0.3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3" thickBot="1" x14ac:dyDescent="0.3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3" thickBot="1" x14ac:dyDescent="0.3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3" thickBot="1" x14ac:dyDescent="0.3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3" thickBot="1" x14ac:dyDescent="0.3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3" thickBot="1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3" thickBot="1" x14ac:dyDescent="0.3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3" thickBot="1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3" thickBot="1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3" thickBot="1" x14ac:dyDescent="0.3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3" thickBot="1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3" thickBot="1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3" thickBot="1" x14ac:dyDescent="0.3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3" thickBot="1" x14ac:dyDescent="0.3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3" thickBot="1" x14ac:dyDescent="0.3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3" thickBot="1" x14ac:dyDescent="0.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3" thickBot="1" x14ac:dyDescent="0.3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3" thickBot="1" x14ac:dyDescent="0.3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3" thickBot="1" x14ac:dyDescent="0.3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3" thickBot="1" x14ac:dyDescent="0.3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3" thickBot="1" x14ac:dyDescent="0.3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3" thickBot="1" x14ac:dyDescent="0.3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3" thickBot="1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3" thickBot="1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3" thickBot="1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3" thickBot="1" x14ac:dyDescent="0.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3" thickBot="1" x14ac:dyDescent="0.3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3" thickBot="1" x14ac:dyDescent="0.3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3" thickBot="1" x14ac:dyDescent="0.3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3" thickBot="1" x14ac:dyDescent="0.3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3" thickBot="1" x14ac:dyDescent="0.3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3" thickBot="1" x14ac:dyDescent="0.3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3" thickBot="1" x14ac:dyDescent="0.3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3" thickBot="1" x14ac:dyDescent="0.3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3" thickBot="1" x14ac:dyDescent="0.3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3" thickBot="1" x14ac:dyDescent="0.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3" thickBot="1" x14ac:dyDescent="0.3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3" thickBot="1" x14ac:dyDescent="0.3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3" thickBot="1" x14ac:dyDescent="0.3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3" thickBot="1" x14ac:dyDescent="0.3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3" thickBot="1" x14ac:dyDescent="0.3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3" thickBot="1" x14ac:dyDescent="0.3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3" thickBot="1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3" thickBot="1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3" thickBot="1" x14ac:dyDescent="0.3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3" thickBot="1" x14ac:dyDescent="0.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3" thickBot="1" x14ac:dyDescent="0.3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3" thickBot="1" x14ac:dyDescent="0.3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3" thickBot="1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3" thickBot="1" x14ac:dyDescent="0.3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3" thickBot="1" x14ac:dyDescent="0.3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3" thickBot="1" x14ac:dyDescent="0.3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3" thickBot="1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3" thickBot="1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3" thickBot="1" x14ac:dyDescent="0.3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3" thickBot="1" x14ac:dyDescent="0.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3" thickBot="1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3" thickBot="1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3" thickBot="1" x14ac:dyDescent="0.3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3" thickBot="1" x14ac:dyDescent="0.3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3" thickBot="1" x14ac:dyDescent="0.3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3" thickBot="1" x14ac:dyDescent="0.3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3" thickBot="1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3" thickBot="1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3" thickBot="1" x14ac:dyDescent="0.3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3" thickBot="1" x14ac:dyDescent="0.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3" thickBot="1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3" thickBot="1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3" thickBot="1" x14ac:dyDescent="0.3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3" thickBot="1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3" thickBot="1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3" thickBot="1" x14ac:dyDescent="0.3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3" thickBot="1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3" thickBot="1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3" thickBot="1" x14ac:dyDescent="0.3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3" thickBot="1" x14ac:dyDescent="0.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3" thickBot="1" x14ac:dyDescent="0.3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3" thickBot="1" x14ac:dyDescent="0.3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3" thickBot="1" x14ac:dyDescent="0.3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3" thickBot="1" x14ac:dyDescent="0.3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3" thickBot="1" x14ac:dyDescent="0.3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3" thickBot="1" x14ac:dyDescent="0.3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3" thickBot="1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3" thickBot="1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3" thickBot="1" x14ac:dyDescent="0.3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3" thickBot="1" x14ac:dyDescent="0.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3" thickBot="1" x14ac:dyDescent="0.3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3" thickBot="1" x14ac:dyDescent="0.3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3" thickBot="1" x14ac:dyDescent="0.3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3" thickBot="1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3" thickBot="1" x14ac:dyDescent="0.3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3" thickBot="1" x14ac:dyDescent="0.3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3" thickBot="1" x14ac:dyDescent="0.3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3" thickBot="1" x14ac:dyDescent="0.3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3" thickBot="1" x14ac:dyDescent="0.3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3" thickBot="1" x14ac:dyDescent="0.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3" thickBot="1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3" thickBot="1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3" thickBot="1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3" thickBot="1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3" thickBot="1" x14ac:dyDescent="0.3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3" thickBot="1" x14ac:dyDescent="0.3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3" thickBot="1" x14ac:dyDescent="0.3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3" thickBot="1" x14ac:dyDescent="0.3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3" thickBot="1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3" thickBot="1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3" thickBot="1" x14ac:dyDescent="0.3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3" thickBot="1" x14ac:dyDescent="0.3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3" thickBot="1" x14ac:dyDescent="0.3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3" thickBot="1" x14ac:dyDescent="0.3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3" thickBot="1" x14ac:dyDescent="0.3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3" thickBot="1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3" thickBot="1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3" thickBot="1" x14ac:dyDescent="0.3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3" thickBot="1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3" thickBot="1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3" thickBot="1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3" thickBot="1" x14ac:dyDescent="0.3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3" thickBot="1" x14ac:dyDescent="0.3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3" thickBot="1" x14ac:dyDescent="0.3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3" thickBot="1" x14ac:dyDescent="0.3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3" thickBot="1" x14ac:dyDescent="0.3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3" thickBot="1" x14ac:dyDescent="0.3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3" thickBot="1" x14ac:dyDescent="0.3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3" thickBot="1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3" thickBot="1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3" thickBot="1" x14ac:dyDescent="0.3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3" thickBot="1" x14ac:dyDescent="0.3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3" thickBot="1" x14ac:dyDescent="0.3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3" thickBot="1" x14ac:dyDescent="0.3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3" thickBot="1" x14ac:dyDescent="0.3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3" thickBot="1" x14ac:dyDescent="0.3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3" thickBot="1" x14ac:dyDescent="0.3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3" thickBot="1" x14ac:dyDescent="0.3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3" thickBot="1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3" thickBot="1" x14ac:dyDescent="0.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3" thickBot="1" x14ac:dyDescent="0.3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3" thickBot="1" x14ac:dyDescent="0.3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3" thickBot="1" x14ac:dyDescent="0.3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3" thickBot="1" x14ac:dyDescent="0.3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3" thickBot="1" x14ac:dyDescent="0.3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3" thickBot="1" x14ac:dyDescent="0.3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3" thickBot="1" x14ac:dyDescent="0.3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3" thickBot="1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3" thickBot="1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3" thickBot="1" x14ac:dyDescent="0.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3" thickBot="1" x14ac:dyDescent="0.3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3" thickBot="1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3" thickBot="1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3" thickBot="1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3" thickBot="1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3" thickBot="1" x14ac:dyDescent="0.3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3" thickBot="1" x14ac:dyDescent="0.3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3" thickBot="1" x14ac:dyDescent="0.3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3" thickBot="1" x14ac:dyDescent="0.3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3" thickBot="1" x14ac:dyDescent="0.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3" thickBot="1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3" thickBot="1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3" thickBot="1" x14ac:dyDescent="0.3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3" thickBot="1" x14ac:dyDescent="0.3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3" thickBot="1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3" thickBot="1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3" thickBot="1" x14ac:dyDescent="0.3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3" thickBot="1" x14ac:dyDescent="0.3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3" thickBot="1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3" thickBot="1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3" thickBot="1" x14ac:dyDescent="0.3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3" thickBot="1" x14ac:dyDescent="0.3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3" thickBot="1" x14ac:dyDescent="0.3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3" thickBot="1" x14ac:dyDescent="0.3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3" thickBot="1" x14ac:dyDescent="0.3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3" thickBot="1" x14ac:dyDescent="0.3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3" thickBot="1" x14ac:dyDescent="0.3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3" thickBot="1" x14ac:dyDescent="0.3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3" thickBot="1" x14ac:dyDescent="0.3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3" thickBot="1" x14ac:dyDescent="0.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3" thickBot="1" x14ac:dyDescent="0.3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3" thickBot="1" x14ac:dyDescent="0.3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3" thickBot="1" x14ac:dyDescent="0.3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3" thickBot="1" x14ac:dyDescent="0.3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3" thickBot="1" x14ac:dyDescent="0.3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3" thickBot="1" x14ac:dyDescent="0.3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3" thickBot="1" x14ac:dyDescent="0.3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3" thickBot="1" x14ac:dyDescent="0.3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3" thickBot="1" x14ac:dyDescent="0.3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3" thickBot="1" x14ac:dyDescent="0.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3" thickBot="1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3" thickBot="1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3" thickBot="1" x14ac:dyDescent="0.3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3" thickBot="1" x14ac:dyDescent="0.3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3" thickBot="1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3" thickBot="1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3" thickBot="1" x14ac:dyDescent="0.3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3" thickBot="1" x14ac:dyDescent="0.3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3" thickBot="1" x14ac:dyDescent="0.3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3" thickBot="1" x14ac:dyDescent="0.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3" thickBot="1" x14ac:dyDescent="0.3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3" thickBot="1" x14ac:dyDescent="0.3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3" thickBot="1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3" thickBot="1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3" thickBot="1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3" thickBot="1" x14ac:dyDescent="0.3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3" thickBot="1" x14ac:dyDescent="0.3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3" thickBot="1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3" thickBot="1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3" thickBot="1" x14ac:dyDescent="0.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3" thickBot="1" x14ac:dyDescent="0.3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3" thickBot="1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3" thickBot="1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3" thickBot="1" x14ac:dyDescent="0.3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3" thickBot="1" x14ac:dyDescent="0.3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3" thickBot="1" x14ac:dyDescent="0.3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3" thickBot="1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3" thickBot="1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3" thickBot="1" x14ac:dyDescent="0.3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3" thickBot="1" x14ac:dyDescent="0.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3" thickBot="1" x14ac:dyDescent="0.3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3" thickBot="1" x14ac:dyDescent="0.3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3" thickBot="1" x14ac:dyDescent="0.3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3" thickBot="1" x14ac:dyDescent="0.3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3" thickBot="1" x14ac:dyDescent="0.3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3" thickBot="1" x14ac:dyDescent="0.3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3" thickBot="1" x14ac:dyDescent="0.3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3" thickBot="1" x14ac:dyDescent="0.3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3" thickBot="1" x14ac:dyDescent="0.3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3" thickBot="1" x14ac:dyDescent="0.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3" thickBot="1" x14ac:dyDescent="0.3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3" thickBot="1" x14ac:dyDescent="0.3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3" thickBot="1" x14ac:dyDescent="0.3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3" thickBot="1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3" thickBot="1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3" thickBot="1" x14ac:dyDescent="0.3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3" thickBot="1" x14ac:dyDescent="0.3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3" thickBot="1" x14ac:dyDescent="0.3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3" thickBot="1" x14ac:dyDescent="0.3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3" thickBot="1" x14ac:dyDescent="0.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3" thickBot="1" x14ac:dyDescent="0.3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3" thickBot="1" x14ac:dyDescent="0.3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3" thickBot="1" x14ac:dyDescent="0.3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3" thickBot="1" x14ac:dyDescent="0.3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3" thickBot="1" x14ac:dyDescent="0.3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3" thickBot="1" x14ac:dyDescent="0.3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3" thickBot="1" x14ac:dyDescent="0.3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3" thickBot="1" x14ac:dyDescent="0.3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3" thickBot="1" x14ac:dyDescent="0.3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3" thickBot="1" x14ac:dyDescent="0.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3" thickBot="1" x14ac:dyDescent="0.3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3" thickBot="1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3" thickBot="1" x14ac:dyDescent="0.3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3" thickBot="1" x14ac:dyDescent="0.3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3" thickBot="1" x14ac:dyDescent="0.3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3" thickBot="1" x14ac:dyDescent="0.3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3" thickBot="1" x14ac:dyDescent="0.3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7"/>
  <sheetViews>
    <sheetView workbookViewId="0">
      <selection activeCell="H7" sqref="H7"/>
    </sheetView>
  </sheetViews>
  <sheetFormatPr defaultColWidth="12.6328125" defaultRowHeight="15.75" customHeight="1" x14ac:dyDescent="0.25"/>
  <sheetData>
    <row r="1" spans="1:5" ht="13" x14ac:dyDescent="0.3">
      <c r="A1" s="1" t="s">
        <v>81</v>
      </c>
      <c r="B1" s="1" t="s">
        <v>126</v>
      </c>
      <c r="C1" s="1" t="s">
        <v>127</v>
      </c>
      <c r="D1" s="1" t="s">
        <v>128</v>
      </c>
      <c r="E1" s="1" t="s">
        <v>133</v>
      </c>
    </row>
    <row r="2" spans="1:5" ht="15.75" customHeight="1" x14ac:dyDescent="0.25">
      <c r="A2" s="2">
        <v>1</v>
      </c>
      <c r="B2" s="2" t="s">
        <v>57</v>
      </c>
      <c r="C2" s="2" t="s">
        <v>6</v>
      </c>
      <c r="D2" s="3">
        <v>313000000</v>
      </c>
      <c r="E2">
        <v>100</v>
      </c>
    </row>
    <row r="3" spans="1:5" ht="15.75" customHeight="1" x14ac:dyDescent="0.25">
      <c r="A3" s="2">
        <v>2</v>
      </c>
      <c r="B3" s="2" t="s">
        <v>55</v>
      </c>
      <c r="C3" s="2" t="s">
        <v>6</v>
      </c>
      <c r="D3" s="3">
        <v>35000000</v>
      </c>
      <c r="E3">
        <v>200</v>
      </c>
    </row>
    <row r="4" spans="1:5" ht="15.75" customHeight="1" x14ac:dyDescent="0.25">
      <c r="A4" s="2">
        <v>3</v>
      </c>
      <c r="B4" s="2" t="s">
        <v>47</v>
      </c>
      <c r="C4" s="2" t="s">
        <v>6</v>
      </c>
      <c r="D4" s="3">
        <v>270000000</v>
      </c>
      <c r="E4">
        <v>300</v>
      </c>
    </row>
    <row r="5" spans="1:5" ht="15.75" customHeight="1" x14ac:dyDescent="0.25">
      <c r="A5" s="2">
        <v>4</v>
      </c>
      <c r="B5" s="2" t="s">
        <v>44</v>
      </c>
      <c r="C5" s="2" t="s">
        <v>6</v>
      </c>
      <c r="D5" s="3">
        <v>77000000</v>
      </c>
      <c r="E5">
        <v>400</v>
      </c>
    </row>
    <row r="6" spans="1:5" ht="15.75" customHeight="1" x14ac:dyDescent="0.25">
      <c r="A6" s="2">
        <v>5</v>
      </c>
      <c r="B6" s="2" t="s">
        <v>14</v>
      </c>
      <c r="C6" s="2" t="s">
        <v>6</v>
      </c>
      <c r="D6" s="3">
        <v>532000000</v>
      </c>
      <c r="E6">
        <v>500</v>
      </c>
    </row>
    <row r="7" spans="1:5" ht="15.75" customHeight="1" x14ac:dyDescent="0.25">
      <c r="A7" s="2">
        <v>6</v>
      </c>
      <c r="B7" s="2" t="s">
        <v>10</v>
      </c>
      <c r="C7" s="2" t="s">
        <v>6</v>
      </c>
      <c r="D7" s="3">
        <v>132000000</v>
      </c>
      <c r="E7">
        <v>600</v>
      </c>
    </row>
    <row r="8" spans="1:5" ht="15.75" customHeight="1" x14ac:dyDescent="0.25">
      <c r="A8" s="2">
        <v>7</v>
      </c>
      <c r="B8" s="2" t="s">
        <v>73</v>
      </c>
      <c r="C8" s="2" t="s">
        <v>16</v>
      </c>
      <c r="D8" s="3">
        <v>1900000</v>
      </c>
      <c r="E8">
        <v>700</v>
      </c>
    </row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Species_Full</vt:lpstr>
      <vt:lpstr>Species_Reduced</vt:lpstr>
      <vt:lpstr>EEDF_Reduced</vt:lpstr>
      <vt:lpstr>EEDF_Full</vt:lpstr>
      <vt:lpstr>Constant_Reduced</vt:lpstr>
      <vt:lpstr>Constant_Full</vt:lpstr>
      <vt:lpstr>Decay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Smith</cp:lastModifiedBy>
  <dcterms:modified xsi:type="dcterms:W3CDTF">2025-03-19T22:40:52Z</dcterms:modified>
</cp:coreProperties>
</file>